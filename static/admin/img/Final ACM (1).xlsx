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xiom\Downloads\"/>
    </mc:Choice>
  </mc:AlternateContent>
  <xr:revisionPtr revIDLastSave="0" documentId="13_ncr:1_{648CA729-918E-4E2F-AABD-6A63B626A18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Lease Mode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2" l="1"/>
  <c r="D39" i="2" a="1"/>
  <c r="D39" i="2" s="1"/>
  <c r="D61" i="2" a="1"/>
  <c r="D61" i="2" s="1"/>
  <c r="A22" i="2"/>
  <c r="D22" i="2" s="1" a="1"/>
  <c r="D22" i="2" s="1"/>
  <c r="A23" i="2"/>
  <c r="D23" i="2" s="1" a="1"/>
  <c r="D23" i="2" s="1"/>
  <c r="A24" i="2"/>
  <c r="D24" i="2" s="1" a="1"/>
  <c r="D24" i="2" s="1"/>
  <c r="A25" i="2"/>
  <c r="D25" i="2" s="1" a="1"/>
  <c r="D25" i="2" s="1"/>
  <c r="A26" i="2"/>
  <c r="D26" i="2" s="1" a="1"/>
  <c r="D26" i="2" s="1"/>
  <c r="A27" i="2"/>
  <c r="D27" i="2" s="1" a="1"/>
  <c r="D27" i="2" s="1"/>
  <c r="A28" i="2"/>
  <c r="D28" i="2" s="1" a="1"/>
  <c r="D28" i="2" s="1"/>
  <c r="A29" i="2"/>
  <c r="D29" i="2" s="1" a="1"/>
  <c r="D29" i="2" s="1"/>
  <c r="A30" i="2"/>
  <c r="D30" i="2" s="1" a="1"/>
  <c r="D30" i="2" s="1"/>
  <c r="A31" i="2"/>
  <c r="D31" i="2" s="1" a="1"/>
  <c r="D31" i="2" s="1"/>
  <c r="A32" i="2"/>
  <c r="D32" i="2" s="1" a="1"/>
  <c r="D32" i="2" s="1"/>
  <c r="A33" i="2"/>
  <c r="A34" i="2"/>
  <c r="D34" i="2" s="1" a="1"/>
  <c r="D34" i="2" s="1"/>
  <c r="A35" i="2"/>
  <c r="D35" i="2" s="1" a="1"/>
  <c r="D35" i="2" s="1"/>
  <c r="A36" i="2"/>
  <c r="B36" i="2" s="1"/>
  <c r="A37" i="2"/>
  <c r="D37" i="2" s="1" a="1"/>
  <c r="D37" i="2" s="1"/>
  <c r="A38" i="2"/>
  <c r="D38" i="2" s="1" a="1"/>
  <c r="D38" i="2" s="1"/>
  <c r="A39" i="2"/>
  <c r="A40" i="2"/>
  <c r="D40" i="2" s="1" a="1"/>
  <c r="D40" i="2" s="1"/>
  <c r="A41" i="2"/>
  <c r="D41" i="2" s="1" a="1"/>
  <c r="D41" i="2" s="1"/>
  <c r="A42" i="2"/>
  <c r="D42" i="2" s="1" a="1"/>
  <c r="D42" i="2" s="1"/>
  <c r="A43" i="2"/>
  <c r="D43" i="2" s="1" a="1"/>
  <c r="D43" i="2" s="1"/>
  <c r="A44" i="2"/>
  <c r="B44" i="2" s="1"/>
  <c r="A45" i="2"/>
  <c r="D45" i="2" s="1" a="1"/>
  <c r="D45" i="2" s="1"/>
  <c r="A46" i="2"/>
  <c r="D46" i="2" s="1" a="1"/>
  <c r="D46" i="2" s="1"/>
  <c r="A47" i="2"/>
  <c r="D47" i="2" s="1" a="1"/>
  <c r="D47" i="2" s="1"/>
  <c r="A48" i="2"/>
  <c r="D48" i="2" s="1" a="1"/>
  <c r="D48" i="2" s="1"/>
  <c r="A49" i="2"/>
  <c r="D49" i="2" s="1" a="1"/>
  <c r="D49" i="2" s="1"/>
  <c r="A50" i="2"/>
  <c r="A51" i="2"/>
  <c r="D51" i="2" s="1" a="1"/>
  <c r="D51" i="2" s="1"/>
  <c r="A52" i="2"/>
  <c r="B52" i="2" s="1"/>
  <c r="A53" i="2"/>
  <c r="A54" i="2"/>
  <c r="D54" i="2" s="1" a="1"/>
  <c r="D54" i="2" s="1"/>
  <c r="A55" i="2"/>
  <c r="D55" i="2" s="1" a="1"/>
  <c r="D55" i="2" s="1"/>
  <c r="A56" i="2"/>
  <c r="D56" i="2" s="1" a="1"/>
  <c r="D56" i="2" s="1"/>
  <c r="A57" i="2"/>
  <c r="D57" i="2" s="1" a="1"/>
  <c r="D57" i="2" s="1"/>
  <c r="A58" i="2"/>
  <c r="A59" i="2"/>
  <c r="A60" i="2"/>
  <c r="B60" i="2" s="1"/>
  <c r="A61" i="2"/>
  <c r="A62" i="2"/>
  <c r="D62" i="2" s="1" a="1"/>
  <c r="D62" i="2" s="1"/>
  <c r="A63" i="2"/>
  <c r="A64" i="2"/>
  <c r="D64" i="2" s="1" a="1"/>
  <c r="D64" i="2" s="1"/>
  <c r="A65" i="2"/>
  <c r="A66" i="2"/>
  <c r="D66" i="2" s="1" a="1"/>
  <c r="D66" i="2" s="1"/>
  <c r="A67" i="2"/>
  <c r="D67" i="2" s="1" a="1"/>
  <c r="D67" i="2" s="1"/>
  <c r="A68" i="2"/>
  <c r="B68" i="2" s="1"/>
  <c r="A69" i="2"/>
  <c r="D69" i="2" s="1" a="1"/>
  <c r="D69" i="2" s="1"/>
  <c r="A70" i="2"/>
  <c r="D70" i="2" s="1" a="1"/>
  <c r="D70" i="2" s="1"/>
  <c r="A71" i="2"/>
  <c r="D71" i="2" s="1" a="1"/>
  <c r="D71" i="2" s="1"/>
  <c r="A72" i="2"/>
  <c r="D72" i="2" s="1" a="1"/>
  <c r="D72" i="2" s="1"/>
  <c r="A73" i="2"/>
  <c r="D73" i="2" s="1" a="1"/>
  <c r="D73" i="2" s="1"/>
  <c r="A74" i="2"/>
  <c r="D74" i="2" s="1" a="1"/>
  <c r="D74" i="2" s="1"/>
  <c r="A75" i="2"/>
  <c r="D75" i="2" s="1" a="1"/>
  <c r="D75" i="2" s="1"/>
  <c r="A76" i="2"/>
  <c r="B76" i="2" s="1"/>
  <c r="A77" i="2"/>
  <c r="D77" i="2" s="1" a="1"/>
  <c r="D77" i="2" s="1"/>
  <c r="A78" i="2"/>
  <c r="A79" i="2"/>
  <c r="D79" i="2" s="1" a="1"/>
  <c r="D79" i="2" s="1"/>
  <c r="A80" i="2"/>
  <c r="D80" i="2" s="1" a="1"/>
  <c r="D80" i="2" s="1"/>
  <c r="A81" i="2"/>
  <c r="D81" i="2" s="1" a="1"/>
  <c r="D81" i="2" s="1"/>
  <c r="A82" i="2"/>
  <c r="A83" i="2"/>
  <c r="D83" i="2" s="1" a="1"/>
  <c r="D83" i="2" s="1"/>
  <c r="A84" i="2"/>
  <c r="D84" i="2" s="1" a="1"/>
  <c r="D84" i="2" s="1"/>
  <c r="A85" i="2"/>
  <c r="A86" i="2"/>
  <c r="D86" i="2" s="1" a="1"/>
  <c r="D86" i="2" s="1"/>
  <c r="A87" i="2"/>
  <c r="D87" i="2" s="1" a="1"/>
  <c r="D87" i="2" s="1"/>
  <c r="A88" i="2"/>
  <c r="D88" i="2" s="1" a="1"/>
  <c r="D88" i="2" s="1"/>
  <c r="A89" i="2"/>
  <c r="D89" i="2" s="1" a="1"/>
  <c r="D89" i="2" s="1"/>
  <c r="A90" i="2"/>
  <c r="D90" i="2" s="1" a="1"/>
  <c r="D90" i="2" s="1"/>
  <c r="A91" i="2"/>
  <c r="D91" i="2" s="1" a="1"/>
  <c r="D91" i="2" s="1"/>
  <c r="A92" i="2"/>
  <c r="B92" i="2" s="1"/>
  <c r="A93" i="2"/>
  <c r="A94" i="2"/>
  <c r="D94" i="2" s="1" a="1"/>
  <c r="D94" i="2" s="1"/>
  <c r="A95" i="2"/>
  <c r="D95" i="2" s="1" a="1"/>
  <c r="D95" i="2" s="1"/>
  <c r="A96" i="2"/>
  <c r="D96" i="2" s="1" a="1"/>
  <c r="D96" i="2" s="1"/>
  <c r="A97" i="2"/>
  <c r="A98" i="2"/>
  <c r="D98" i="2" s="1" a="1"/>
  <c r="D98" i="2" s="1"/>
  <c r="A99" i="2"/>
  <c r="D99" i="2" s="1" a="1"/>
  <c r="D99" i="2" s="1"/>
  <c r="A100" i="2"/>
  <c r="B100" i="2" s="1"/>
  <c r="A101" i="2"/>
  <c r="D101" i="2" s="1" a="1"/>
  <c r="D101" i="2" s="1"/>
  <c r="A102" i="2"/>
  <c r="D102" i="2" s="1" a="1"/>
  <c r="D102" i="2" s="1"/>
  <c r="A103" i="2"/>
  <c r="D103" i="2" s="1" a="1"/>
  <c r="D103" i="2" s="1"/>
  <c r="A104" i="2"/>
  <c r="D104" i="2" s="1" a="1"/>
  <c r="D104" i="2" s="1"/>
  <c r="A105" i="2"/>
  <c r="D105" i="2" s="1" a="1"/>
  <c r="D105" i="2" s="1"/>
  <c r="A106" i="2"/>
  <c r="D106" i="2" s="1" a="1"/>
  <c r="D106" i="2" s="1"/>
  <c r="A107" i="2"/>
  <c r="D107" i="2" s="1" a="1"/>
  <c r="D107" i="2" s="1"/>
  <c r="A108" i="2"/>
  <c r="B108" i="2" s="1"/>
  <c r="A109" i="2"/>
  <c r="D109" i="2" s="1" a="1"/>
  <c r="D109" i="2" s="1"/>
  <c r="A110" i="2"/>
  <c r="D110" i="2" s="1" a="1"/>
  <c r="D110" i="2" s="1"/>
  <c r="A111" i="2"/>
  <c r="D111" i="2" s="1" a="1"/>
  <c r="D111" i="2" s="1"/>
  <c r="A112" i="2"/>
  <c r="D112" i="2" s="1" a="1"/>
  <c r="D112" i="2" s="1"/>
  <c r="A113" i="2"/>
  <c r="D113" i="2" s="1" a="1"/>
  <c r="D113" i="2" s="1"/>
  <c r="A114" i="2"/>
  <c r="A115" i="2"/>
  <c r="D115" i="2" s="1" a="1"/>
  <c r="D115" i="2" s="1"/>
  <c r="A116" i="2"/>
  <c r="B116" i="2" s="1"/>
  <c r="A117" i="2"/>
  <c r="A118" i="2"/>
  <c r="D118" i="2" s="1" a="1"/>
  <c r="D118" i="2" s="1"/>
  <c r="A119" i="2"/>
  <c r="D119" i="2" s="1" a="1"/>
  <c r="D119" i="2" s="1"/>
  <c r="A120" i="2"/>
  <c r="D120" i="2" s="1" a="1"/>
  <c r="D120" i="2" s="1"/>
  <c r="A121" i="2"/>
  <c r="D121" i="2" s="1" a="1"/>
  <c r="D121" i="2" s="1"/>
  <c r="A122" i="2"/>
  <c r="A123" i="2"/>
  <c r="A124" i="2"/>
  <c r="B124" i="2" s="1"/>
  <c r="A125" i="2"/>
  <c r="A126" i="2"/>
  <c r="D126" i="2" s="1" a="1"/>
  <c r="D126" i="2" s="1"/>
  <c r="A127" i="2"/>
  <c r="A128" i="2"/>
  <c r="D128" i="2" s="1" a="1"/>
  <c r="D128" i="2" s="1"/>
  <c r="A129" i="2"/>
  <c r="A130" i="2"/>
  <c r="D130" i="2" s="1" a="1"/>
  <c r="D130" i="2" s="1"/>
  <c r="A131" i="2"/>
  <c r="D131" i="2" s="1" a="1"/>
  <c r="D131" i="2" s="1"/>
  <c r="A132" i="2"/>
  <c r="D132" i="2" s="1" a="1"/>
  <c r="D132" i="2" s="1"/>
  <c r="A133" i="2"/>
  <c r="D133" i="2" s="1" a="1"/>
  <c r="D133" i="2" s="1"/>
  <c r="A134" i="2"/>
  <c r="D134" i="2" s="1" a="1"/>
  <c r="D134" i="2" s="1"/>
  <c r="A135" i="2"/>
  <c r="D135" i="2" s="1" a="1"/>
  <c r="D135" i="2" s="1"/>
  <c r="A136" i="2"/>
  <c r="D136" i="2" s="1" a="1"/>
  <c r="D136" i="2" s="1"/>
  <c r="A137" i="2"/>
  <c r="D137" i="2" s="1" a="1"/>
  <c r="D137" i="2" s="1"/>
  <c r="A138" i="2"/>
  <c r="D138" i="2" s="1" a="1"/>
  <c r="D138" i="2" s="1"/>
  <c r="A139" i="2"/>
  <c r="D139" i="2" s="1" a="1"/>
  <c r="D139" i="2" s="1"/>
  <c r="A140" i="2"/>
  <c r="B140" i="2" s="1"/>
  <c r="A141" i="2"/>
  <c r="D141" i="2" s="1" a="1"/>
  <c r="D141" i="2" s="1"/>
  <c r="A142" i="2"/>
  <c r="A143" i="2"/>
  <c r="D143" i="2" s="1" a="1"/>
  <c r="D143" i="2" s="1"/>
  <c r="A144" i="2"/>
  <c r="D144" i="2" s="1" a="1"/>
  <c r="D144" i="2" s="1"/>
  <c r="A145" i="2"/>
  <c r="D145" i="2" s="1" a="1"/>
  <c r="D145" i="2" s="1"/>
  <c r="A146" i="2"/>
  <c r="A147" i="2"/>
  <c r="D147" i="2" s="1" a="1"/>
  <c r="D147" i="2" s="1"/>
  <c r="A148" i="2"/>
  <c r="B148" i="2" s="1"/>
  <c r="A149" i="2"/>
  <c r="A150" i="2"/>
  <c r="D150" i="2" s="1" a="1"/>
  <c r="D150" i="2" s="1"/>
  <c r="A151" i="2"/>
  <c r="D151" i="2" s="1" a="1"/>
  <c r="D151" i="2" s="1"/>
  <c r="A152" i="2"/>
  <c r="D152" i="2" s="1" a="1"/>
  <c r="D152" i="2" s="1"/>
  <c r="A153" i="2"/>
  <c r="D153" i="2" s="1" a="1"/>
  <c r="D153" i="2" s="1"/>
  <c r="A154" i="2"/>
  <c r="D154" i="2" s="1" a="1"/>
  <c r="D154" i="2" s="1"/>
  <c r="A155" i="2"/>
  <c r="D155" i="2" s="1" a="1"/>
  <c r="D155" i="2" s="1"/>
  <c r="A156" i="2"/>
  <c r="B156" i="2" s="1"/>
  <c r="A157" i="2"/>
  <c r="A158" i="2"/>
  <c r="D158" i="2" s="1" a="1"/>
  <c r="D158" i="2" s="1"/>
  <c r="A159" i="2"/>
  <c r="D159" i="2" s="1" a="1"/>
  <c r="D159" i="2" s="1"/>
  <c r="A160" i="2"/>
  <c r="D160" i="2" s="1" a="1"/>
  <c r="D160" i="2" s="1"/>
  <c r="A161" i="2"/>
  <c r="A162" i="2"/>
  <c r="D162" i="2" s="1" a="1"/>
  <c r="D162" i="2" s="1"/>
  <c r="A163" i="2"/>
  <c r="D163" i="2" s="1" a="1"/>
  <c r="D163" i="2" s="1"/>
  <c r="A164" i="2"/>
  <c r="D164" i="2" s="1" a="1"/>
  <c r="D164" i="2" s="1"/>
  <c r="A165" i="2"/>
  <c r="D165" i="2" s="1" a="1"/>
  <c r="D165" i="2" s="1"/>
  <c r="A166" i="2"/>
  <c r="D166" i="2" s="1" a="1"/>
  <c r="D166" i="2" s="1"/>
  <c r="A167" i="2"/>
  <c r="A168" i="2"/>
  <c r="D168" i="2" s="1" a="1"/>
  <c r="D168" i="2" s="1"/>
  <c r="A169" i="2"/>
  <c r="D169" i="2" s="1" a="1"/>
  <c r="D169" i="2" s="1"/>
  <c r="A170" i="2"/>
  <c r="D170" i="2" s="1" a="1"/>
  <c r="D170" i="2" s="1"/>
  <c r="A171" i="2"/>
  <c r="D171" i="2" s="1" a="1"/>
  <c r="D171" i="2" s="1"/>
  <c r="A172" i="2"/>
  <c r="B172" i="2" s="1"/>
  <c r="A173" i="2"/>
  <c r="D173" i="2" s="1" a="1"/>
  <c r="D173" i="2" s="1"/>
  <c r="A174" i="2"/>
  <c r="D174" i="2" s="1" a="1"/>
  <c r="D174" i="2" s="1"/>
  <c r="A175" i="2"/>
  <c r="D175" i="2" s="1" a="1"/>
  <c r="D175" i="2" s="1"/>
  <c r="A176" i="2"/>
  <c r="D176" i="2" s="1" a="1"/>
  <c r="D176" i="2" s="1"/>
  <c r="A177" i="2"/>
  <c r="D177" i="2" s="1" a="1"/>
  <c r="D177" i="2" s="1"/>
  <c r="A178" i="2"/>
  <c r="A179" i="2"/>
  <c r="D179" i="2" s="1" a="1"/>
  <c r="D179" i="2" s="1"/>
  <c r="A180" i="2"/>
  <c r="D180" i="2" s="1" a="1"/>
  <c r="D180" i="2" s="1"/>
  <c r="A181" i="2"/>
  <c r="A182" i="2"/>
  <c r="D182" i="2" s="1" a="1"/>
  <c r="D182" i="2" s="1"/>
  <c r="A183" i="2"/>
  <c r="D183" i="2" s="1" a="1"/>
  <c r="D183" i="2" s="1"/>
  <c r="A184" i="2"/>
  <c r="D184" i="2" s="1" a="1"/>
  <c r="D184" i="2" s="1"/>
  <c r="A185" i="2"/>
  <c r="D185" i="2" s="1" a="1"/>
  <c r="D185" i="2" s="1"/>
  <c r="A186" i="2"/>
  <c r="A187" i="2"/>
  <c r="A188" i="2"/>
  <c r="B188" i="2" s="1"/>
  <c r="A189" i="2"/>
  <c r="A190" i="2"/>
  <c r="D190" i="2" s="1" a="1"/>
  <c r="D190" i="2" s="1"/>
  <c r="A191" i="2"/>
  <c r="A192" i="2"/>
  <c r="D192" i="2" s="1" a="1"/>
  <c r="D192" i="2" s="1"/>
  <c r="A193" i="2"/>
  <c r="A194" i="2"/>
  <c r="D194" i="2" s="1" a="1"/>
  <c r="D194" i="2" s="1"/>
  <c r="A195" i="2"/>
  <c r="D195" i="2" s="1" a="1"/>
  <c r="D195" i="2" s="1"/>
  <c r="A196" i="2"/>
  <c r="B196" i="2" s="1"/>
  <c r="A197" i="2"/>
  <c r="D197" i="2" s="1" a="1"/>
  <c r="D197" i="2" s="1"/>
  <c r="A198" i="2"/>
  <c r="D198" i="2" s="1" a="1"/>
  <c r="D198" i="2" s="1"/>
  <c r="A199" i="2"/>
  <c r="D199" i="2" s="1" a="1"/>
  <c r="D199" i="2" s="1"/>
  <c r="A200" i="2"/>
  <c r="D200" i="2" s="1" a="1"/>
  <c r="D200" i="2" s="1"/>
  <c r="A201" i="2"/>
  <c r="D201" i="2" s="1" a="1"/>
  <c r="D201" i="2" s="1"/>
  <c r="A202" i="2"/>
  <c r="D202" i="2" s="1" a="1"/>
  <c r="D202" i="2" s="1"/>
  <c r="A203" i="2"/>
  <c r="D203" i="2" s="1" a="1"/>
  <c r="D203" i="2" s="1"/>
  <c r="A204" i="2"/>
  <c r="D204" i="2" s="1" a="1"/>
  <c r="D204" i="2" s="1"/>
  <c r="A205" i="2"/>
  <c r="D205" i="2" s="1" a="1"/>
  <c r="D205" i="2" s="1"/>
  <c r="A206" i="2"/>
  <c r="A207" i="2"/>
  <c r="D207" i="2" s="1" a="1"/>
  <c r="D207" i="2" s="1"/>
  <c r="A208" i="2"/>
  <c r="D208" i="2" s="1" a="1"/>
  <c r="D208" i="2" s="1"/>
  <c r="A209" i="2"/>
  <c r="D209" i="2" s="1" a="1"/>
  <c r="D209" i="2" s="1"/>
  <c r="A210" i="2"/>
  <c r="A211" i="2"/>
  <c r="D211" i="2" s="1" a="1"/>
  <c r="D211" i="2" s="1"/>
  <c r="A212" i="2"/>
  <c r="B212" i="2" s="1"/>
  <c r="A213" i="2"/>
  <c r="A214" i="2"/>
  <c r="D214" i="2" s="1" a="1"/>
  <c r="D214" i="2" s="1"/>
  <c r="A215" i="2"/>
  <c r="D215" i="2" s="1" a="1"/>
  <c r="D215" i="2" s="1"/>
  <c r="A216" i="2"/>
  <c r="D216" i="2" s="1" a="1"/>
  <c r="D216" i="2" s="1"/>
  <c r="A217" i="2"/>
  <c r="D217" i="2" s="1" a="1"/>
  <c r="D217" i="2" s="1"/>
  <c r="A218" i="2"/>
  <c r="D218" i="2" s="1" a="1"/>
  <c r="D218" i="2" s="1"/>
  <c r="A219" i="2"/>
  <c r="D219" i="2" s="1" a="1"/>
  <c r="D219" i="2" s="1"/>
  <c r="A220" i="2"/>
  <c r="B220" i="2" s="1"/>
  <c r="C33" i="1"/>
  <c r="B27" i="1"/>
  <c r="B28" i="1"/>
  <c r="B29" i="1"/>
  <c r="B30" i="1"/>
  <c r="B31" i="1"/>
  <c r="C32" i="1"/>
  <c r="E32" i="1" s="1"/>
  <c r="B35" i="1"/>
  <c r="B36" i="1"/>
  <c r="E212" i="1"/>
  <c r="F212" i="1" s="1"/>
  <c r="D212" i="1"/>
  <c r="C212" i="1"/>
  <c r="B212" i="1"/>
  <c r="E211" i="1"/>
  <c r="D211" i="1"/>
  <c r="C211" i="1"/>
  <c r="B211" i="1"/>
  <c r="E210" i="1"/>
  <c r="D210" i="1"/>
  <c r="C210" i="1"/>
  <c r="B210" i="1"/>
  <c r="E209" i="1"/>
  <c r="D209" i="1"/>
  <c r="C209" i="1"/>
  <c r="B209" i="1"/>
  <c r="E208" i="1"/>
  <c r="D208" i="1"/>
  <c r="C208" i="1"/>
  <c r="B208" i="1"/>
  <c r="E207" i="1"/>
  <c r="D207" i="1"/>
  <c r="C207" i="1"/>
  <c r="B207" i="1"/>
  <c r="E206" i="1"/>
  <c r="D206" i="1"/>
  <c r="C206" i="1"/>
  <c r="B206" i="1"/>
  <c r="E205" i="1"/>
  <c r="D205" i="1"/>
  <c r="C205" i="1"/>
  <c r="B205" i="1"/>
  <c r="E204" i="1"/>
  <c r="D204" i="1"/>
  <c r="C204" i="1"/>
  <c r="B204" i="1"/>
  <c r="E203" i="1"/>
  <c r="D203" i="1"/>
  <c r="C203" i="1"/>
  <c r="B203" i="1"/>
  <c r="E202" i="1"/>
  <c r="D202" i="1"/>
  <c r="C202" i="1"/>
  <c r="B202" i="1"/>
  <c r="E201" i="1"/>
  <c r="D201" i="1"/>
  <c r="C201" i="1"/>
  <c r="B201" i="1"/>
  <c r="E200" i="1"/>
  <c r="D200" i="1"/>
  <c r="C200" i="1"/>
  <c r="B200" i="1"/>
  <c r="E199" i="1"/>
  <c r="D199" i="1"/>
  <c r="C199" i="1"/>
  <c r="B199" i="1"/>
  <c r="E198" i="1"/>
  <c r="D198" i="1"/>
  <c r="C198" i="1"/>
  <c r="B198" i="1"/>
  <c r="E197" i="1"/>
  <c r="D197" i="1"/>
  <c r="C197" i="1"/>
  <c r="B197" i="1"/>
  <c r="E196" i="1"/>
  <c r="D196" i="1"/>
  <c r="C196" i="1"/>
  <c r="B196" i="1"/>
  <c r="E195" i="1"/>
  <c r="D195" i="1"/>
  <c r="C195" i="1"/>
  <c r="B195" i="1"/>
  <c r="E194" i="1"/>
  <c r="D194" i="1"/>
  <c r="C194" i="1"/>
  <c r="B194" i="1"/>
  <c r="E193" i="1"/>
  <c r="D193" i="1"/>
  <c r="C193" i="1"/>
  <c r="B193" i="1"/>
  <c r="E192" i="1"/>
  <c r="D192" i="1"/>
  <c r="C192" i="1"/>
  <c r="B192" i="1"/>
  <c r="E191" i="1"/>
  <c r="D191" i="1"/>
  <c r="C191" i="1"/>
  <c r="B191" i="1"/>
  <c r="E190" i="1"/>
  <c r="D190" i="1"/>
  <c r="C190" i="1"/>
  <c r="B190" i="1"/>
  <c r="E189" i="1"/>
  <c r="D189" i="1"/>
  <c r="C189" i="1"/>
  <c r="B189" i="1"/>
  <c r="E188" i="1"/>
  <c r="D188" i="1"/>
  <c r="C188" i="1"/>
  <c r="B188" i="1"/>
  <c r="E187" i="1"/>
  <c r="D187" i="1"/>
  <c r="C187" i="1"/>
  <c r="B187" i="1"/>
  <c r="E186" i="1"/>
  <c r="D186" i="1"/>
  <c r="C186" i="1"/>
  <c r="B186" i="1"/>
  <c r="E185" i="1"/>
  <c r="D185" i="1"/>
  <c r="C185" i="1"/>
  <c r="B185" i="1"/>
  <c r="E184" i="1"/>
  <c r="D184" i="1"/>
  <c r="C184" i="1"/>
  <c r="B184" i="1"/>
  <c r="E183" i="1"/>
  <c r="D183" i="1"/>
  <c r="C183" i="1"/>
  <c r="B183" i="1"/>
  <c r="E182" i="1"/>
  <c r="D182" i="1"/>
  <c r="C182" i="1"/>
  <c r="B182" i="1"/>
  <c r="E181" i="1"/>
  <c r="D181" i="1"/>
  <c r="C181" i="1"/>
  <c r="B181" i="1"/>
  <c r="E180" i="1"/>
  <c r="D180" i="1"/>
  <c r="C180" i="1"/>
  <c r="B180" i="1"/>
  <c r="E179" i="1"/>
  <c r="D179" i="1"/>
  <c r="C179" i="1"/>
  <c r="B179" i="1"/>
  <c r="E178" i="1"/>
  <c r="D178" i="1"/>
  <c r="C178" i="1"/>
  <c r="B178" i="1"/>
  <c r="E177" i="1"/>
  <c r="D177" i="1"/>
  <c r="C177" i="1"/>
  <c r="B177" i="1"/>
  <c r="E176" i="1"/>
  <c r="D176" i="1"/>
  <c r="C176" i="1"/>
  <c r="B176" i="1"/>
  <c r="E175" i="1"/>
  <c r="D175" i="1"/>
  <c r="C175" i="1"/>
  <c r="B175" i="1"/>
  <c r="E174" i="1"/>
  <c r="D174" i="1"/>
  <c r="C174" i="1"/>
  <c r="B174" i="1"/>
  <c r="E173" i="1"/>
  <c r="D173" i="1"/>
  <c r="C173" i="1"/>
  <c r="B173" i="1"/>
  <c r="E172" i="1"/>
  <c r="D172" i="1"/>
  <c r="C172" i="1"/>
  <c r="B172" i="1"/>
  <c r="E171" i="1"/>
  <c r="D171" i="1"/>
  <c r="C171" i="1"/>
  <c r="B171" i="1"/>
  <c r="E170" i="1"/>
  <c r="D170" i="1"/>
  <c r="C170" i="1"/>
  <c r="B170" i="1"/>
  <c r="E169" i="1"/>
  <c r="D169" i="1"/>
  <c r="C169" i="1"/>
  <c r="B169" i="1"/>
  <c r="E168" i="1"/>
  <c r="D168" i="1"/>
  <c r="C168" i="1"/>
  <c r="B168" i="1"/>
  <c r="E167" i="1"/>
  <c r="D167" i="1"/>
  <c r="C167" i="1"/>
  <c r="B167" i="1"/>
  <c r="E166" i="1"/>
  <c r="D166" i="1"/>
  <c r="C166" i="1"/>
  <c r="B166" i="1"/>
  <c r="E165" i="1"/>
  <c r="D165" i="1"/>
  <c r="C165" i="1"/>
  <c r="B165" i="1"/>
  <c r="E164" i="1"/>
  <c r="D164" i="1"/>
  <c r="C164" i="1"/>
  <c r="B164" i="1"/>
  <c r="E163" i="1"/>
  <c r="D163" i="1"/>
  <c r="C163" i="1"/>
  <c r="B163" i="1"/>
  <c r="E162" i="1"/>
  <c r="D162" i="1"/>
  <c r="C162" i="1"/>
  <c r="B162" i="1"/>
  <c r="E161" i="1"/>
  <c r="D161" i="1"/>
  <c r="C161" i="1"/>
  <c r="B161" i="1"/>
  <c r="E160" i="1"/>
  <c r="D160" i="1"/>
  <c r="C160" i="1"/>
  <c r="B160" i="1"/>
  <c r="E159" i="1"/>
  <c r="D159" i="1"/>
  <c r="C159" i="1"/>
  <c r="B159" i="1"/>
  <c r="E158" i="1"/>
  <c r="D158" i="1"/>
  <c r="C158" i="1"/>
  <c r="B158" i="1"/>
  <c r="E157" i="1"/>
  <c r="D157" i="1"/>
  <c r="C157" i="1"/>
  <c r="B157" i="1"/>
  <c r="E156" i="1"/>
  <c r="D156" i="1"/>
  <c r="C156" i="1"/>
  <c r="B156" i="1"/>
  <c r="E155" i="1"/>
  <c r="D155" i="1"/>
  <c r="C155" i="1"/>
  <c r="B155" i="1"/>
  <c r="E154" i="1"/>
  <c r="D154" i="1"/>
  <c r="C154" i="1"/>
  <c r="B154" i="1"/>
  <c r="E153" i="1"/>
  <c r="D153" i="1"/>
  <c r="C153" i="1"/>
  <c r="B153" i="1"/>
  <c r="E152" i="1"/>
  <c r="D152" i="1"/>
  <c r="C152" i="1"/>
  <c r="B152" i="1"/>
  <c r="E151" i="1"/>
  <c r="D151" i="1"/>
  <c r="C151" i="1"/>
  <c r="B151" i="1"/>
  <c r="E150" i="1"/>
  <c r="D150" i="1"/>
  <c r="C150" i="1"/>
  <c r="B150" i="1"/>
  <c r="E149" i="1"/>
  <c r="D149" i="1"/>
  <c r="C149" i="1"/>
  <c r="B149" i="1"/>
  <c r="E148" i="1"/>
  <c r="D148" i="1"/>
  <c r="C148" i="1"/>
  <c r="B148" i="1"/>
  <c r="E147" i="1"/>
  <c r="D147" i="1"/>
  <c r="C147" i="1"/>
  <c r="B147" i="1"/>
  <c r="E146" i="1"/>
  <c r="D146" i="1"/>
  <c r="C146" i="1"/>
  <c r="B146" i="1"/>
  <c r="E145" i="1"/>
  <c r="D145" i="1"/>
  <c r="C145" i="1"/>
  <c r="B145" i="1"/>
  <c r="E144" i="1"/>
  <c r="D144" i="1"/>
  <c r="C144" i="1"/>
  <c r="B144" i="1"/>
  <c r="E143" i="1"/>
  <c r="D143" i="1"/>
  <c r="C143" i="1"/>
  <c r="B143" i="1"/>
  <c r="E142" i="1"/>
  <c r="D142" i="1"/>
  <c r="C142" i="1"/>
  <c r="B142" i="1"/>
  <c r="E141" i="1"/>
  <c r="D141" i="1"/>
  <c r="C141" i="1"/>
  <c r="B141" i="1"/>
  <c r="E140" i="1"/>
  <c r="D140" i="1"/>
  <c r="C140" i="1"/>
  <c r="B140" i="1"/>
  <c r="E139" i="1"/>
  <c r="D139" i="1"/>
  <c r="C139" i="1"/>
  <c r="B139" i="1"/>
  <c r="E138" i="1"/>
  <c r="D138" i="1"/>
  <c r="C138" i="1"/>
  <c r="B138" i="1"/>
  <c r="E137" i="1"/>
  <c r="D137" i="1"/>
  <c r="C137" i="1"/>
  <c r="B137" i="1"/>
  <c r="E136" i="1"/>
  <c r="D136" i="1"/>
  <c r="C136" i="1"/>
  <c r="B136" i="1"/>
  <c r="E135" i="1"/>
  <c r="D135" i="1"/>
  <c r="C135" i="1"/>
  <c r="B135" i="1"/>
  <c r="E134" i="1"/>
  <c r="D134" i="1"/>
  <c r="C134" i="1"/>
  <c r="B134" i="1"/>
  <c r="E133" i="1"/>
  <c r="D133" i="1"/>
  <c r="C133" i="1"/>
  <c r="B133" i="1"/>
  <c r="E132" i="1"/>
  <c r="D132" i="1"/>
  <c r="C132" i="1"/>
  <c r="B132" i="1"/>
  <c r="E131" i="1"/>
  <c r="D131" i="1"/>
  <c r="C131" i="1"/>
  <c r="B131" i="1"/>
  <c r="E130" i="1"/>
  <c r="D130" i="1"/>
  <c r="C130" i="1"/>
  <c r="B130" i="1"/>
  <c r="E129" i="1"/>
  <c r="D129" i="1"/>
  <c r="C129" i="1"/>
  <c r="B129" i="1"/>
  <c r="E128" i="1"/>
  <c r="D128" i="1"/>
  <c r="C128" i="1"/>
  <c r="B128" i="1"/>
  <c r="E127" i="1"/>
  <c r="D127" i="1"/>
  <c r="C127" i="1"/>
  <c r="B127" i="1"/>
  <c r="E126" i="1"/>
  <c r="D126" i="1"/>
  <c r="C126" i="1"/>
  <c r="B126" i="1"/>
  <c r="E125" i="1"/>
  <c r="D125" i="1"/>
  <c r="C125" i="1"/>
  <c r="B125" i="1"/>
  <c r="E124" i="1"/>
  <c r="D124" i="1"/>
  <c r="C124" i="1"/>
  <c r="B124" i="1"/>
  <c r="E123" i="1"/>
  <c r="D123" i="1"/>
  <c r="C123" i="1"/>
  <c r="B123" i="1"/>
  <c r="E122" i="1"/>
  <c r="D122" i="1"/>
  <c r="C122" i="1"/>
  <c r="B122" i="1"/>
  <c r="E121" i="1"/>
  <c r="D121" i="1"/>
  <c r="C121" i="1"/>
  <c r="B121" i="1"/>
  <c r="E120" i="1"/>
  <c r="D120" i="1"/>
  <c r="C120" i="1"/>
  <c r="B120" i="1"/>
  <c r="E119" i="1"/>
  <c r="D119" i="1"/>
  <c r="C119" i="1"/>
  <c r="B119" i="1"/>
  <c r="E118" i="1"/>
  <c r="D118" i="1"/>
  <c r="C118" i="1"/>
  <c r="B118" i="1"/>
  <c r="E117" i="1"/>
  <c r="D117" i="1"/>
  <c r="C117" i="1"/>
  <c r="B117" i="1"/>
  <c r="E116" i="1"/>
  <c r="D116" i="1"/>
  <c r="C116" i="1"/>
  <c r="B116" i="1"/>
  <c r="E115" i="1"/>
  <c r="D115" i="1"/>
  <c r="C115" i="1"/>
  <c r="B115" i="1"/>
  <c r="E114" i="1"/>
  <c r="D114" i="1"/>
  <c r="C114" i="1"/>
  <c r="B114" i="1"/>
  <c r="E113" i="1"/>
  <c r="D113" i="1"/>
  <c r="C113" i="1"/>
  <c r="B113" i="1"/>
  <c r="E112" i="1"/>
  <c r="D112" i="1"/>
  <c r="C112" i="1"/>
  <c r="B112" i="1"/>
  <c r="E111" i="1"/>
  <c r="D111" i="1"/>
  <c r="C111" i="1"/>
  <c r="B111" i="1"/>
  <c r="E110" i="1"/>
  <c r="D110" i="1"/>
  <c r="C110" i="1"/>
  <c r="B110" i="1"/>
  <c r="E109" i="1"/>
  <c r="D109" i="1"/>
  <c r="C109" i="1"/>
  <c r="B109" i="1"/>
  <c r="E108" i="1"/>
  <c r="D108" i="1"/>
  <c r="C108" i="1"/>
  <c r="B108" i="1"/>
  <c r="E107" i="1"/>
  <c r="D107" i="1"/>
  <c r="C107" i="1"/>
  <c r="B107" i="1"/>
  <c r="E106" i="1"/>
  <c r="D106" i="1"/>
  <c r="C106" i="1"/>
  <c r="B106" i="1"/>
  <c r="E105" i="1"/>
  <c r="D105" i="1"/>
  <c r="C105" i="1"/>
  <c r="B105" i="1"/>
  <c r="E104" i="1"/>
  <c r="D104" i="1"/>
  <c r="C104" i="1"/>
  <c r="B104" i="1"/>
  <c r="E103" i="1"/>
  <c r="D103" i="1"/>
  <c r="C103" i="1"/>
  <c r="B103" i="1"/>
  <c r="E102" i="1"/>
  <c r="D102" i="1"/>
  <c r="C102" i="1"/>
  <c r="B102" i="1"/>
  <c r="E101" i="1"/>
  <c r="D101" i="1"/>
  <c r="C101" i="1"/>
  <c r="B101" i="1"/>
  <c r="E100" i="1"/>
  <c r="D100" i="1"/>
  <c r="C100" i="1"/>
  <c r="B100" i="1"/>
  <c r="E99" i="1"/>
  <c r="D99" i="1"/>
  <c r="C99" i="1"/>
  <c r="B99" i="1"/>
  <c r="E98" i="1"/>
  <c r="D98" i="1"/>
  <c r="C98" i="1"/>
  <c r="B98" i="1"/>
  <c r="E97" i="1"/>
  <c r="D97" i="1"/>
  <c r="C97" i="1"/>
  <c r="B97" i="1"/>
  <c r="E96" i="1"/>
  <c r="D96" i="1"/>
  <c r="C96" i="1"/>
  <c r="B96" i="1"/>
  <c r="E95" i="1"/>
  <c r="D95" i="1"/>
  <c r="C95" i="1"/>
  <c r="B95" i="1"/>
  <c r="E94" i="1"/>
  <c r="D94" i="1"/>
  <c r="C94" i="1"/>
  <c r="B94" i="1"/>
  <c r="E93" i="1"/>
  <c r="D93" i="1"/>
  <c r="C93" i="1"/>
  <c r="B93" i="1"/>
  <c r="E92" i="1"/>
  <c r="D92" i="1"/>
  <c r="C92" i="1"/>
  <c r="B92" i="1"/>
  <c r="E91" i="1"/>
  <c r="D91" i="1"/>
  <c r="C91" i="1"/>
  <c r="B91" i="1"/>
  <c r="E90" i="1"/>
  <c r="D90" i="1"/>
  <c r="C90" i="1"/>
  <c r="B90" i="1"/>
  <c r="E89" i="1"/>
  <c r="D89" i="1"/>
  <c r="C89" i="1"/>
  <c r="B89" i="1"/>
  <c r="E88" i="1"/>
  <c r="D88" i="1"/>
  <c r="C88" i="1"/>
  <c r="B88" i="1"/>
  <c r="E87" i="1"/>
  <c r="D87" i="1"/>
  <c r="C87" i="1"/>
  <c r="B87" i="1"/>
  <c r="E86" i="1"/>
  <c r="D86" i="1"/>
  <c r="C86" i="1"/>
  <c r="B86" i="1"/>
  <c r="E85" i="1"/>
  <c r="D85" i="1"/>
  <c r="C85" i="1"/>
  <c r="B85" i="1"/>
  <c r="E84" i="1"/>
  <c r="D84" i="1"/>
  <c r="C84" i="1"/>
  <c r="B84" i="1"/>
  <c r="E83" i="1"/>
  <c r="D83" i="1"/>
  <c r="C83" i="1"/>
  <c r="B83" i="1"/>
  <c r="E82" i="1"/>
  <c r="D82" i="1"/>
  <c r="C82" i="1"/>
  <c r="B82" i="1"/>
  <c r="E81" i="1"/>
  <c r="D81" i="1"/>
  <c r="C81" i="1"/>
  <c r="B81" i="1"/>
  <c r="E80" i="1"/>
  <c r="D80" i="1"/>
  <c r="C80" i="1"/>
  <c r="B80" i="1"/>
  <c r="E79" i="1"/>
  <c r="D79" i="1"/>
  <c r="C79" i="1"/>
  <c r="B79" i="1"/>
  <c r="E78" i="1"/>
  <c r="D78" i="1"/>
  <c r="C78" i="1"/>
  <c r="B78" i="1"/>
  <c r="E77" i="1"/>
  <c r="D77" i="1"/>
  <c r="C77" i="1"/>
  <c r="B77" i="1"/>
  <c r="E76" i="1"/>
  <c r="D76" i="1"/>
  <c r="C76" i="1"/>
  <c r="B76" i="1"/>
  <c r="E75" i="1"/>
  <c r="D75" i="1"/>
  <c r="C75" i="1"/>
  <c r="B75" i="1"/>
  <c r="E74" i="1"/>
  <c r="D74" i="1"/>
  <c r="C74" i="1"/>
  <c r="B74" i="1"/>
  <c r="E73" i="1"/>
  <c r="D73" i="1"/>
  <c r="C73" i="1"/>
  <c r="B73" i="1"/>
  <c r="E72" i="1"/>
  <c r="D72" i="1"/>
  <c r="C72" i="1"/>
  <c r="B72" i="1"/>
  <c r="E71" i="1"/>
  <c r="D71" i="1"/>
  <c r="C71" i="1"/>
  <c r="B71" i="1"/>
  <c r="E70" i="1"/>
  <c r="D70" i="1"/>
  <c r="C70" i="1"/>
  <c r="B70" i="1"/>
  <c r="E69" i="1"/>
  <c r="D69" i="1"/>
  <c r="C69" i="1"/>
  <c r="B69" i="1"/>
  <c r="E68" i="1"/>
  <c r="D68" i="1"/>
  <c r="C68" i="1"/>
  <c r="B68" i="1"/>
  <c r="E67" i="1"/>
  <c r="D67" i="1"/>
  <c r="C67" i="1"/>
  <c r="B67" i="1"/>
  <c r="E66" i="1"/>
  <c r="D66" i="1"/>
  <c r="C66" i="1"/>
  <c r="B66" i="1"/>
  <c r="E65" i="1"/>
  <c r="D65" i="1"/>
  <c r="C65" i="1"/>
  <c r="B65" i="1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D61" i="1"/>
  <c r="C61" i="1"/>
  <c r="B61" i="1"/>
  <c r="E60" i="1"/>
  <c r="D60" i="1"/>
  <c r="C60" i="1"/>
  <c r="B60" i="1"/>
  <c r="E59" i="1"/>
  <c r="D59" i="1"/>
  <c r="C59" i="1"/>
  <c r="B59" i="1"/>
  <c r="E58" i="1"/>
  <c r="D58" i="1"/>
  <c r="C58" i="1"/>
  <c r="B58" i="1"/>
  <c r="E57" i="1"/>
  <c r="D57" i="1"/>
  <c r="C57" i="1"/>
  <c r="B57" i="1"/>
  <c r="E56" i="1"/>
  <c r="D56" i="1"/>
  <c r="C56" i="1"/>
  <c r="B56" i="1"/>
  <c r="E55" i="1"/>
  <c r="D55" i="1"/>
  <c r="C55" i="1"/>
  <c r="B55" i="1"/>
  <c r="E54" i="1"/>
  <c r="D54" i="1"/>
  <c r="C54" i="1"/>
  <c r="B54" i="1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E35" i="1"/>
  <c r="D35" i="1"/>
  <c r="C35" i="1"/>
  <c r="E34" i="1"/>
  <c r="D34" i="1"/>
  <c r="C34" i="1"/>
  <c r="E33" i="1"/>
  <c r="D33" i="1"/>
  <c r="D32" i="1"/>
  <c r="D31" i="1"/>
  <c r="C31" i="1"/>
  <c r="E31" i="1" s="1"/>
  <c r="D30" i="1"/>
  <c r="D29" i="1"/>
  <c r="C29" i="1" s="1"/>
  <c r="E29" i="1" s="1"/>
  <c r="D28" i="1"/>
  <c r="C28" i="1"/>
  <c r="E28" i="1" s="1"/>
  <c r="D27" i="1"/>
  <c r="C27" i="1"/>
  <c r="E27" i="1" s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B13" i="1" s="1"/>
  <c r="C13" i="1" s="1"/>
  <c r="E13" i="1" s="1"/>
  <c r="D189" i="2" l="1" a="1"/>
  <c r="D189" i="2" s="1"/>
  <c r="D167" i="2" a="1"/>
  <c r="D167" i="2" s="1"/>
  <c r="D125" i="2" a="1"/>
  <c r="D125" i="2" s="1"/>
  <c r="D146" i="2" a="1"/>
  <c r="D146" i="2" s="1"/>
  <c r="D213" i="2" a="1"/>
  <c r="D213" i="2" s="1"/>
  <c r="D191" i="2" a="1"/>
  <c r="D191" i="2" s="1"/>
  <c r="D149" i="2" a="1"/>
  <c r="D149" i="2" s="1"/>
  <c r="D127" i="2" a="1"/>
  <c r="D127" i="2" s="1"/>
  <c r="D85" i="2" a="1"/>
  <c r="D85" i="2" s="1"/>
  <c r="D63" i="2" a="1"/>
  <c r="D63" i="2" s="1"/>
  <c r="D210" i="2" a="1"/>
  <c r="D210" i="2" s="1"/>
  <c r="D187" i="2" a="1"/>
  <c r="D187" i="2" s="1"/>
  <c r="D123" i="2" a="1"/>
  <c r="D123" i="2" s="1"/>
  <c r="D59" i="2" a="1"/>
  <c r="D59" i="2" s="1"/>
  <c r="D206" i="2" a="1"/>
  <c r="D206" i="2" s="1"/>
  <c r="D186" i="2" a="1"/>
  <c r="D186" i="2" s="1"/>
  <c r="D161" i="2" a="1"/>
  <c r="D161" i="2" s="1"/>
  <c r="D142" i="2" a="1"/>
  <c r="D142" i="2" s="1"/>
  <c r="D122" i="2" a="1"/>
  <c r="D122" i="2" s="1"/>
  <c r="D97" i="2" a="1"/>
  <c r="D97" i="2" s="1"/>
  <c r="D78" i="2" a="1"/>
  <c r="D78" i="2" s="1"/>
  <c r="D58" i="2" a="1"/>
  <c r="D58" i="2" s="1"/>
  <c r="D33" i="2" a="1"/>
  <c r="D33" i="2" s="1"/>
  <c r="D82" i="2" a="1"/>
  <c r="D82" i="2" s="1"/>
  <c r="D181" i="2" a="1"/>
  <c r="D181" i="2" s="1"/>
  <c r="D117" i="2" a="1"/>
  <c r="D117" i="2" s="1"/>
  <c r="D53" i="2" a="1"/>
  <c r="D53" i="2" s="1"/>
  <c r="D178" i="2" a="1"/>
  <c r="D178" i="2" s="1"/>
  <c r="D157" i="2" a="1"/>
  <c r="D157" i="2" s="1"/>
  <c r="D114" i="2" a="1"/>
  <c r="D114" i="2" s="1"/>
  <c r="D93" i="2" a="1"/>
  <c r="D93" i="2" s="1"/>
  <c r="D50" i="2" a="1"/>
  <c r="D50" i="2" s="1"/>
  <c r="D193" i="2" a="1"/>
  <c r="D193" i="2" s="1"/>
  <c r="D129" i="2" a="1"/>
  <c r="D129" i="2" s="1"/>
  <c r="D65" i="2" a="1"/>
  <c r="D65" i="2" s="1"/>
  <c r="D52" i="2" a="1"/>
  <c r="D52" i="2" s="1"/>
  <c r="D220" i="2" a="1"/>
  <c r="D220" i="2" s="1"/>
  <c r="D188" i="2" a="1"/>
  <c r="D188" i="2" s="1"/>
  <c r="D156" i="2" a="1"/>
  <c r="D156" i="2" s="1"/>
  <c r="D124" i="2" a="1"/>
  <c r="D124" i="2" s="1"/>
  <c r="D92" i="2" a="1"/>
  <c r="D92" i="2" s="1"/>
  <c r="D60" i="2" a="1"/>
  <c r="D60" i="2" s="1"/>
  <c r="D148" i="2" a="1"/>
  <c r="D148" i="2" s="1"/>
  <c r="D212" i="2" a="1"/>
  <c r="D212" i="2" s="1"/>
  <c r="D172" i="2" a="1"/>
  <c r="D172" i="2" s="1"/>
  <c r="D140" i="2" a="1"/>
  <c r="D140" i="2" s="1"/>
  <c r="D108" i="2" a="1"/>
  <c r="D108" i="2" s="1"/>
  <c r="D76" i="2" a="1"/>
  <c r="D76" i="2" s="1"/>
  <c r="D44" i="2" a="1"/>
  <c r="D44" i="2" s="1"/>
  <c r="D196" i="2" a="1"/>
  <c r="D196" i="2" s="1"/>
  <c r="D100" i="2" a="1"/>
  <c r="D100" i="2" s="1"/>
  <c r="D68" i="2" a="1"/>
  <c r="D68" i="2" s="1"/>
  <c r="D36" i="2" a="1"/>
  <c r="D36" i="2" s="1"/>
  <c r="D116" i="2" a="1"/>
  <c r="D116" i="2" s="1"/>
  <c r="D21" i="2"/>
  <c r="C21" i="2" s="1" a="1"/>
  <c r="C21" i="2" s="1"/>
  <c r="B215" i="2"/>
  <c r="B207" i="2"/>
  <c r="B199" i="2"/>
  <c r="B191" i="2"/>
  <c r="B183" i="2"/>
  <c r="B175" i="2"/>
  <c r="B167" i="2"/>
  <c r="B159" i="2"/>
  <c r="B151" i="2"/>
  <c r="B143" i="2"/>
  <c r="B135" i="2"/>
  <c r="B127" i="2"/>
  <c r="B119" i="2"/>
  <c r="B111" i="2"/>
  <c r="B103" i="2"/>
  <c r="B95" i="2"/>
  <c r="B87" i="2"/>
  <c r="B79" i="2"/>
  <c r="B71" i="2"/>
  <c r="B63" i="2"/>
  <c r="B55" i="2"/>
  <c r="B213" i="2"/>
  <c r="B205" i="2"/>
  <c r="B197" i="2"/>
  <c r="B189" i="2"/>
  <c r="B181" i="2"/>
  <c r="B173" i="2"/>
  <c r="B165" i="2"/>
  <c r="B157" i="2"/>
  <c r="B149" i="2"/>
  <c r="B141" i="2"/>
  <c r="B133" i="2"/>
  <c r="B125" i="2"/>
  <c r="B117" i="2"/>
  <c r="B109" i="2"/>
  <c r="B101" i="2"/>
  <c r="B93" i="2"/>
  <c r="B85" i="2"/>
  <c r="B77" i="2"/>
  <c r="B69" i="2"/>
  <c r="B61" i="2"/>
  <c r="B53" i="2"/>
  <c r="B45" i="2"/>
  <c r="B37" i="2"/>
  <c r="B29" i="2"/>
  <c r="B204" i="2"/>
  <c r="B180" i="2"/>
  <c r="B164" i="2"/>
  <c r="B132" i="2"/>
  <c r="B84" i="2"/>
  <c r="B28" i="2"/>
  <c r="B219" i="2"/>
  <c r="B211" i="2"/>
  <c r="B203" i="2"/>
  <c r="B195" i="2"/>
  <c r="B187" i="2"/>
  <c r="B179" i="2"/>
  <c r="B171" i="2"/>
  <c r="B163" i="2"/>
  <c r="B155" i="2"/>
  <c r="B147" i="2"/>
  <c r="B139" i="2"/>
  <c r="B131" i="2"/>
  <c r="B123" i="2"/>
  <c r="B115" i="2"/>
  <c r="B107" i="2"/>
  <c r="B99" i="2"/>
  <c r="B91" i="2"/>
  <c r="B83" i="2"/>
  <c r="B75" i="2"/>
  <c r="B67" i="2"/>
  <c r="B59" i="2"/>
  <c r="B51" i="2"/>
  <c r="B43" i="2"/>
  <c r="B35" i="2"/>
  <c r="B27" i="2"/>
  <c r="B218" i="2"/>
  <c r="B210" i="2"/>
  <c r="B202" i="2"/>
  <c r="B194" i="2"/>
  <c r="B186" i="2"/>
  <c r="B178" i="2"/>
  <c r="B170" i="2"/>
  <c r="B162" i="2"/>
  <c r="B154" i="2"/>
  <c r="B146" i="2"/>
  <c r="B138" i="2"/>
  <c r="B130" i="2"/>
  <c r="B122" i="2"/>
  <c r="B114" i="2"/>
  <c r="B106" i="2"/>
  <c r="B98" i="2"/>
  <c r="B90" i="2"/>
  <c r="B82" i="2"/>
  <c r="B74" i="2"/>
  <c r="B66" i="2"/>
  <c r="B58" i="2"/>
  <c r="B50" i="2"/>
  <c r="B42" i="2"/>
  <c r="B34" i="2"/>
  <c r="B26" i="2"/>
  <c r="B217" i="2"/>
  <c r="B209" i="2"/>
  <c r="B201" i="2"/>
  <c r="B193" i="2"/>
  <c r="B185" i="2"/>
  <c r="B177" i="2"/>
  <c r="B169" i="2"/>
  <c r="B161" i="2"/>
  <c r="B153" i="2"/>
  <c r="B145" i="2"/>
  <c r="B137" i="2"/>
  <c r="B129" i="2"/>
  <c r="B121" i="2"/>
  <c r="B113" i="2"/>
  <c r="B105" i="2"/>
  <c r="B97" i="2"/>
  <c r="B89" i="2"/>
  <c r="B81" i="2"/>
  <c r="B73" i="2"/>
  <c r="B65" i="2"/>
  <c r="B57" i="2"/>
  <c r="B49" i="2"/>
  <c r="B41" i="2"/>
  <c r="B33" i="2"/>
  <c r="B25" i="2"/>
  <c r="B216" i="2"/>
  <c r="B208" i="2"/>
  <c r="B200" i="2"/>
  <c r="B192" i="2"/>
  <c r="B184" i="2"/>
  <c r="B176" i="2"/>
  <c r="B168" i="2"/>
  <c r="B160" i="2"/>
  <c r="B152" i="2"/>
  <c r="B144" i="2"/>
  <c r="B136" i="2"/>
  <c r="B128" i="2"/>
  <c r="B120" i="2"/>
  <c r="B112" i="2"/>
  <c r="B104" i="2"/>
  <c r="B96" i="2"/>
  <c r="B88" i="2"/>
  <c r="B80" i="2"/>
  <c r="B72" i="2"/>
  <c r="B64" i="2"/>
  <c r="B56" i="2"/>
  <c r="B48" i="2"/>
  <c r="B40" i="2"/>
  <c r="B32" i="2"/>
  <c r="B24" i="2"/>
  <c r="B47" i="2"/>
  <c r="B39" i="2"/>
  <c r="B31" i="2"/>
  <c r="B23" i="2"/>
  <c r="B214" i="2"/>
  <c r="B206" i="2"/>
  <c r="B198" i="2"/>
  <c r="B190" i="2"/>
  <c r="B182" i="2"/>
  <c r="B174" i="2"/>
  <c r="B166" i="2"/>
  <c r="B158" i="2"/>
  <c r="B150" i="2"/>
  <c r="B142" i="2"/>
  <c r="B134" i="2"/>
  <c r="B126" i="2"/>
  <c r="B118" i="2"/>
  <c r="B110" i="2"/>
  <c r="B102" i="2"/>
  <c r="B94" i="2"/>
  <c r="B86" i="2"/>
  <c r="B78" i="2"/>
  <c r="B70" i="2"/>
  <c r="B62" i="2"/>
  <c r="B54" i="2"/>
  <c r="B46" i="2"/>
  <c r="B38" i="2"/>
  <c r="B30" i="2"/>
  <c r="B22" i="2"/>
  <c r="B21" i="2"/>
  <c r="F96" i="1"/>
  <c r="C30" i="1"/>
  <c r="E30" i="1" s="1"/>
  <c r="F104" i="1"/>
  <c r="F40" i="1"/>
  <c r="F106" i="1"/>
  <c r="F112" i="1"/>
  <c r="G112" i="1" s="1"/>
  <c r="H112" i="1" s="1"/>
  <c r="F113" i="1"/>
  <c r="G113" i="1" s="1"/>
  <c r="H113" i="1" s="1"/>
  <c r="F129" i="1"/>
  <c r="G129" i="1" s="1"/>
  <c r="H129" i="1" s="1"/>
  <c r="F193" i="1"/>
  <c r="F31" i="1"/>
  <c r="F61" i="1"/>
  <c r="G61" i="1" s="1"/>
  <c r="H61" i="1" s="1"/>
  <c r="F177" i="1"/>
  <c r="F195" i="1"/>
  <c r="G195" i="1" s="1"/>
  <c r="H195" i="1" s="1"/>
  <c r="F197" i="1"/>
  <c r="G197" i="1" s="1"/>
  <c r="H197" i="1" s="1"/>
  <c r="F198" i="1"/>
  <c r="G198" i="1" s="1"/>
  <c r="H198" i="1" s="1"/>
  <c r="F201" i="1"/>
  <c r="G201" i="1" s="1"/>
  <c r="H201" i="1" s="1"/>
  <c r="F211" i="1"/>
  <c r="G211" i="1" s="1"/>
  <c r="F36" i="1"/>
  <c r="G36" i="1" s="1"/>
  <c r="F161" i="1"/>
  <c r="G161" i="1" s="1"/>
  <c r="H161" i="1" s="1"/>
  <c r="F137" i="1"/>
  <c r="F168" i="1"/>
  <c r="G168" i="1" s="1"/>
  <c r="H168" i="1" s="1"/>
  <c r="F202" i="1"/>
  <c r="G202" i="1" s="1"/>
  <c r="H202" i="1" s="1"/>
  <c r="F204" i="1"/>
  <c r="F208" i="1"/>
  <c r="G208" i="1" s="1"/>
  <c r="H208" i="1" s="1"/>
  <c r="F210" i="1"/>
  <c r="G210" i="1" s="1"/>
  <c r="H210" i="1" s="1"/>
  <c r="F33" i="1"/>
  <c r="G33" i="1" s="1"/>
  <c r="H33" i="1" s="1"/>
  <c r="F72" i="1"/>
  <c r="G72" i="1" s="1"/>
  <c r="H72" i="1" s="1"/>
  <c r="F73" i="1"/>
  <c r="F88" i="1"/>
  <c r="F90" i="1"/>
  <c r="G90" i="1" s="1"/>
  <c r="H90" i="1" s="1"/>
  <c r="F131" i="1"/>
  <c r="G131" i="1" s="1"/>
  <c r="F154" i="1"/>
  <c r="G154" i="1" s="1"/>
  <c r="F160" i="1"/>
  <c r="G160" i="1" s="1"/>
  <c r="H160" i="1" s="1"/>
  <c r="F185" i="1"/>
  <c r="G185" i="1" s="1"/>
  <c r="H185" i="1" s="1"/>
  <c r="F187" i="1"/>
  <c r="G187" i="1" s="1"/>
  <c r="H187" i="1" s="1"/>
  <c r="F188" i="1"/>
  <c r="F190" i="1"/>
  <c r="G190" i="1" s="1"/>
  <c r="H190" i="1" s="1"/>
  <c r="F43" i="1"/>
  <c r="G43" i="1" s="1"/>
  <c r="H43" i="1" s="1"/>
  <c r="F55" i="1"/>
  <c r="G55" i="1" s="1"/>
  <c r="F139" i="1"/>
  <c r="G139" i="1" s="1"/>
  <c r="F141" i="1"/>
  <c r="G141" i="1" s="1"/>
  <c r="H141" i="1" s="1"/>
  <c r="F143" i="1"/>
  <c r="G143" i="1" s="1"/>
  <c r="H143" i="1" s="1"/>
  <c r="F170" i="1"/>
  <c r="G170" i="1" s="1"/>
  <c r="H170" i="1" s="1"/>
  <c r="F176" i="1"/>
  <c r="F203" i="1"/>
  <c r="G203" i="1" s="1"/>
  <c r="H203" i="1" s="1"/>
  <c r="F206" i="1"/>
  <c r="G206" i="1" s="1"/>
  <c r="H206" i="1" s="1"/>
  <c r="F32" i="1"/>
  <c r="G32" i="1" s="1"/>
  <c r="H32" i="1" s="1"/>
  <c r="F116" i="1"/>
  <c r="F118" i="1"/>
  <c r="G118" i="1" s="1"/>
  <c r="H118" i="1" s="1"/>
  <c r="F120" i="1"/>
  <c r="G120" i="1" s="1"/>
  <c r="H120" i="1" s="1"/>
  <c r="F122" i="1"/>
  <c r="G122" i="1" s="1"/>
  <c r="H122" i="1" s="1"/>
  <c r="F145" i="1"/>
  <c r="F147" i="1"/>
  <c r="G147" i="1" s="1"/>
  <c r="H147" i="1" s="1"/>
  <c r="F148" i="1"/>
  <c r="G148" i="1" s="1"/>
  <c r="H148" i="1" s="1"/>
  <c r="F150" i="1"/>
  <c r="G150" i="1" s="1"/>
  <c r="H150" i="1" s="1"/>
  <c r="F178" i="1"/>
  <c r="F184" i="1"/>
  <c r="G184" i="1" s="1"/>
  <c r="H184" i="1" s="1"/>
  <c r="F209" i="1"/>
  <c r="G209" i="1" s="1"/>
  <c r="H209" i="1" s="1"/>
  <c r="F29" i="1"/>
  <c r="G29" i="1" s="1"/>
  <c r="H29" i="1" s="1"/>
  <c r="F75" i="1"/>
  <c r="G75" i="1" s="1"/>
  <c r="F87" i="1"/>
  <c r="G87" i="1" s="1"/>
  <c r="F130" i="1"/>
  <c r="G130" i="1" s="1"/>
  <c r="F132" i="1"/>
  <c r="G132" i="1" s="1"/>
  <c r="H132" i="1" s="1"/>
  <c r="F134" i="1"/>
  <c r="G134" i="1" s="1"/>
  <c r="H134" i="1" s="1"/>
  <c r="F153" i="1"/>
  <c r="G153" i="1" s="1"/>
  <c r="H153" i="1" s="1"/>
  <c r="F155" i="1"/>
  <c r="G155" i="1" s="1"/>
  <c r="H155" i="1" s="1"/>
  <c r="F156" i="1"/>
  <c r="G156" i="1" s="1"/>
  <c r="H156" i="1" s="1"/>
  <c r="F158" i="1"/>
  <c r="F186" i="1"/>
  <c r="G186" i="1" s="1"/>
  <c r="H186" i="1" s="1"/>
  <c r="F192" i="1"/>
  <c r="G192" i="1" s="1"/>
  <c r="H192" i="1" s="1"/>
  <c r="F99" i="1"/>
  <c r="G99" i="1" s="1"/>
  <c r="F138" i="1"/>
  <c r="G138" i="1" s="1"/>
  <c r="F163" i="1"/>
  <c r="G163" i="1" s="1"/>
  <c r="F164" i="1"/>
  <c r="G164" i="1" s="1"/>
  <c r="H164" i="1" s="1"/>
  <c r="F166" i="1"/>
  <c r="G166" i="1" s="1"/>
  <c r="H166" i="1" s="1"/>
  <c r="F194" i="1"/>
  <c r="F196" i="1"/>
  <c r="F200" i="1"/>
  <c r="F56" i="1"/>
  <c r="F58" i="1"/>
  <c r="G58" i="1" s="1"/>
  <c r="H58" i="1" s="1"/>
  <c r="F140" i="1"/>
  <c r="G140" i="1" s="1"/>
  <c r="H140" i="1" s="1"/>
  <c r="F142" i="1"/>
  <c r="G142" i="1" s="1"/>
  <c r="H142" i="1" s="1"/>
  <c r="F144" i="1"/>
  <c r="G144" i="1" s="1"/>
  <c r="H144" i="1" s="1"/>
  <c r="F169" i="1"/>
  <c r="F171" i="1"/>
  <c r="G171" i="1" s="1"/>
  <c r="H171" i="1" s="1"/>
  <c r="F172" i="1"/>
  <c r="G172" i="1" s="1"/>
  <c r="H172" i="1" s="1"/>
  <c r="F174" i="1"/>
  <c r="G174" i="1" s="1"/>
  <c r="F162" i="1"/>
  <c r="G162" i="1" s="1"/>
  <c r="H162" i="1" s="1"/>
  <c r="F115" i="1"/>
  <c r="G115" i="1" s="1"/>
  <c r="F105" i="1"/>
  <c r="G105" i="1" s="1"/>
  <c r="F123" i="1"/>
  <c r="G123" i="1" s="1"/>
  <c r="F146" i="1"/>
  <c r="F152" i="1"/>
  <c r="F179" i="1"/>
  <c r="G179" i="1" s="1"/>
  <c r="H179" i="1" s="1"/>
  <c r="F180" i="1"/>
  <c r="F182" i="1"/>
  <c r="G182" i="1" s="1"/>
  <c r="H182" i="1" s="1"/>
  <c r="G104" i="1"/>
  <c r="H104" i="1" s="1"/>
  <c r="G31" i="1"/>
  <c r="H31" i="1" s="1"/>
  <c r="F28" i="1"/>
  <c r="F30" i="1"/>
  <c r="F27" i="1"/>
  <c r="G73" i="1"/>
  <c r="H73" i="1" s="1"/>
  <c r="F49" i="1"/>
  <c r="F66" i="1"/>
  <c r="F69" i="1"/>
  <c r="H75" i="1"/>
  <c r="F80" i="1"/>
  <c r="F83" i="1"/>
  <c r="F101" i="1"/>
  <c r="F103" i="1"/>
  <c r="G106" i="1"/>
  <c r="H106" i="1" s="1"/>
  <c r="G176" i="1"/>
  <c r="H176" i="1" s="1"/>
  <c r="G96" i="1"/>
  <c r="H96" i="1" s="1"/>
  <c r="F46" i="1"/>
  <c r="F35" i="1"/>
  <c r="F39" i="1"/>
  <c r="F42" i="1"/>
  <c r="F52" i="1"/>
  <c r="F71" i="1"/>
  <c r="F74" i="1"/>
  <c r="F77" i="1"/>
  <c r="F91" i="1"/>
  <c r="F98" i="1"/>
  <c r="F133" i="1"/>
  <c r="F135" i="1"/>
  <c r="F136" i="1"/>
  <c r="G40" i="1"/>
  <c r="H40" i="1" s="1"/>
  <c r="F63" i="1"/>
  <c r="F34" i="1"/>
  <c r="F54" i="1"/>
  <c r="F57" i="1"/>
  <c r="F60" i="1"/>
  <c r="F79" i="1"/>
  <c r="F82" i="1"/>
  <c r="F85" i="1"/>
  <c r="F93" i="1"/>
  <c r="F95" i="1"/>
  <c r="F108" i="1"/>
  <c r="F110" i="1"/>
  <c r="F125" i="1"/>
  <c r="G158" i="1"/>
  <c r="H158" i="1" s="1"/>
  <c r="F38" i="1"/>
  <c r="F65" i="1"/>
  <c r="G196" i="1"/>
  <c r="H196" i="1" s="1"/>
  <c r="F41" i="1"/>
  <c r="F51" i="1"/>
  <c r="F70" i="1"/>
  <c r="F76" i="1"/>
  <c r="F97" i="1"/>
  <c r="F100" i="1"/>
  <c r="F102" i="1"/>
  <c r="F117" i="1"/>
  <c r="F119" i="1"/>
  <c r="F45" i="1"/>
  <c r="F62" i="1"/>
  <c r="F37" i="1"/>
  <c r="F44" i="1"/>
  <c r="F47" i="1"/>
  <c r="F50" i="1"/>
  <c r="F59" i="1"/>
  <c r="F78" i="1"/>
  <c r="F81" i="1"/>
  <c r="F84" i="1"/>
  <c r="F107" i="1"/>
  <c r="F114" i="1"/>
  <c r="G146" i="1"/>
  <c r="H146" i="1" s="1"/>
  <c r="G152" i="1"/>
  <c r="H152" i="1" s="1"/>
  <c r="F48" i="1"/>
  <c r="F68" i="1"/>
  <c r="G194" i="1"/>
  <c r="H194" i="1" s="1"/>
  <c r="F53" i="1"/>
  <c r="F64" i="1"/>
  <c r="F67" i="1"/>
  <c r="F86" i="1"/>
  <c r="F89" i="1"/>
  <c r="F92" i="1"/>
  <c r="F94" i="1"/>
  <c r="F109" i="1"/>
  <c r="F111" i="1"/>
  <c r="F121" i="1"/>
  <c r="F124" i="1"/>
  <c r="F126" i="1"/>
  <c r="F128" i="1"/>
  <c r="G137" i="1"/>
  <c r="H137" i="1" s="1"/>
  <c r="G188" i="1"/>
  <c r="H188" i="1" s="1"/>
  <c r="G212" i="1"/>
  <c r="H212" i="1" s="1"/>
  <c r="G145" i="1"/>
  <c r="H145" i="1" s="1"/>
  <c r="G169" i="1"/>
  <c r="H169" i="1" s="1"/>
  <c r="G177" i="1"/>
  <c r="H177" i="1" s="1"/>
  <c r="G193" i="1"/>
  <c r="H193" i="1" s="1"/>
  <c r="F127" i="1"/>
  <c r="F151" i="1"/>
  <c r="F159" i="1"/>
  <c r="F167" i="1"/>
  <c r="F175" i="1"/>
  <c r="F183" i="1"/>
  <c r="F191" i="1"/>
  <c r="F199" i="1"/>
  <c r="F207" i="1"/>
  <c r="F149" i="1"/>
  <c r="F157" i="1"/>
  <c r="F165" i="1"/>
  <c r="F173" i="1"/>
  <c r="F181" i="1"/>
  <c r="F189" i="1"/>
  <c r="F205" i="1"/>
  <c r="H130" i="1" l="1"/>
  <c r="H123" i="1"/>
  <c r="H87" i="1"/>
  <c r="G88" i="1"/>
  <c r="H88" i="1" s="1"/>
  <c r="H211" i="1"/>
  <c r="H138" i="1"/>
  <c r="H131" i="1"/>
  <c r="G204" i="1"/>
  <c r="H204" i="1" s="1"/>
  <c r="G200" i="1"/>
  <c r="H200" i="1" s="1"/>
  <c r="H55" i="1"/>
  <c r="H36" i="1"/>
  <c r="H163" i="1"/>
  <c r="H115" i="1"/>
  <c r="H105" i="1"/>
  <c r="H154" i="1"/>
  <c r="H174" i="1"/>
  <c r="H139" i="1"/>
  <c r="G180" i="1"/>
  <c r="H180" i="1" s="1"/>
  <c r="G116" i="1"/>
  <c r="H116" i="1" s="1"/>
  <c r="G178" i="1"/>
  <c r="H178" i="1" s="1"/>
  <c r="G56" i="1"/>
  <c r="H56" i="1" s="1"/>
  <c r="H99" i="1"/>
  <c r="G175" i="1"/>
  <c r="H175" i="1" s="1"/>
  <c r="G119" i="1"/>
  <c r="H119" i="1" s="1"/>
  <c r="G30" i="1"/>
  <c r="H30" i="1" s="1"/>
  <c r="G28" i="1"/>
  <c r="H28" i="1" s="1"/>
  <c r="G165" i="1"/>
  <c r="H165" i="1" s="1"/>
  <c r="G167" i="1"/>
  <c r="H167" i="1" s="1"/>
  <c r="G111" i="1"/>
  <c r="H111" i="1" s="1"/>
  <c r="G53" i="1"/>
  <c r="H53" i="1" s="1"/>
  <c r="G50" i="1"/>
  <c r="H50" i="1" s="1"/>
  <c r="G117" i="1"/>
  <c r="H117" i="1" s="1"/>
  <c r="G70" i="1"/>
  <c r="H70" i="1" s="1"/>
  <c r="G82" i="1"/>
  <c r="H82" i="1" s="1"/>
  <c r="G135" i="1"/>
  <c r="H135" i="1" s="1"/>
  <c r="G91" i="1"/>
  <c r="H91" i="1" s="1"/>
  <c r="G83" i="1"/>
  <c r="H83" i="1" s="1"/>
  <c r="G64" i="1"/>
  <c r="H64" i="1" s="1"/>
  <c r="G35" i="1"/>
  <c r="H35" i="1" s="1"/>
  <c r="G157" i="1"/>
  <c r="H157" i="1" s="1"/>
  <c r="G159" i="1"/>
  <c r="H159" i="1" s="1"/>
  <c r="G109" i="1"/>
  <c r="H109" i="1" s="1"/>
  <c r="G47" i="1"/>
  <c r="H47" i="1" s="1"/>
  <c r="G62" i="1"/>
  <c r="H62" i="1" s="1"/>
  <c r="G51" i="1"/>
  <c r="H51" i="1" s="1"/>
  <c r="G65" i="1"/>
  <c r="H65" i="1" s="1"/>
  <c r="G125" i="1"/>
  <c r="H125" i="1" s="1"/>
  <c r="G79" i="1"/>
  <c r="H79" i="1" s="1"/>
  <c r="G133" i="1"/>
  <c r="H133" i="1" s="1"/>
  <c r="G77" i="1"/>
  <c r="H77" i="1" s="1"/>
  <c r="G46" i="1"/>
  <c r="H46" i="1" s="1"/>
  <c r="G80" i="1"/>
  <c r="H80" i="1" s="1"/>
  <c r="G48" i="1"/>
  <c r="H48" i="1" s="1"/>
  <c r="G63" i="1"/>
  <c r="H63" i="1" s="1"/>
  <c r="G151" i="1"/>
  <c r="H151" i="1" s="1"/>
  <c r="G45" i="1"/>
  <c r="H45" i="1" s="1"/>
  <c r="G38" i="1"/>
  <c r="H38" i="1" s="1"/>
  <c r="G127" i="1"/>
  <c r="H127" i="1" s="1"/>
  <c r="G92" i="1"/>
  <c r="H92" i="1" s="1"/>
  <c r="G107" i="1"/>
  <c r="H107" i="1" s="1"/>
  <c r="G37" i="1"/>
  <c r="H37" i="1" s="1"/>
  <c r="G100" i="1"/>
  <c r="H100" i="1" s="1"/>
  <c r="G110" i="1"/>
  <c r="H110" i="1" s="1"/>
  <c r="G57" i="1"/>
  <c r="H57" i="1" s="1"/>
  <c r="G71" i="1"/>
  <c r="H71" i="1" s="1"/>
  <c r="G69" i="1"/>
  <c r="H69" i="1" s="1"/>
  <c r="G173" i="1"/>
  <c r="H173" i="1" s="1"/>
  <c r="G76" i="1"/>
  <c r="H76" i="1" s="1"/>
  <c r="G136" i="1"/>
  <c r="H136" i="1" s="1"/>
  <c r="G149" i="1"/>
  <c r="H149" i="1" s="1"/>
  <c r="G114" i="1"/>
  <c r="H114" i="1" s="1"/>
  <c r="G41" i="1"/>
  <c r="H41" i="1" s="1"/>
  <c r="G74" i="1"/>
  <c r="H74" i="1" s="1"/>
  <c r="G205" i="1"/>
  <c r="H205" i="1" s="1"/>
  <c r="G199" i="1"/>
  <c r="H199" i="1" s="1"/>
  <c r="G128" i="1"/>
  <c r="H128" i="1" s="1"/>
  <c r="G89" i="1"/>
  <c r="H89" i="1" s="1"/>
  <c r="G84" i="1"/>
  <c r="H84" i="1" s="1"/>
  <c r="G97" i="1"/>
  <c r="H97" i="1" s="1"/>
  <c r="G108" i="1"/>
  <c r="H108" i="1" s="1"/>
  <c r="G54" i="1"/>
  <c r="H54" i="1" s="1"/>
  <c r="G52" i="1"/>
  <c r="H52" i="1" s="1"/>
  <c r="G66" i="1"/>
  <c r="H66" i="1" s="1"/>
  <c r="G121" i="1"/>
  <c r="H121" i="1" s="1"/>
  <c r="G85" i="1"/>
  <c r="H85" i="1" s="1"/>
  <c r="G94" i="1"/>
  <c r="H94" i="1" s="1"/>
  <c r="G60" i="1"/>
  <c r="H60" i="1" s="1"/>
  <c r="G207" i="1"/>
  <c r="H207" i="1" s="1"/>
  <c r="G189" i="1"/>
  <c r="H189" i="1" s="1"/>
  <c r="G191" i="1"/>
  <c r="H191" i="1" s="1"/>
  <c r="G126" i="1"/>
  <c r="H126" i="1" s="1"/>
  <c r="G86" i="1"/>
  <c r="H86" i="1" s="1"/>
  <c r="G81" i="1"/>
  <c r="H81" i="1" s="1"/>
  <c r="G95" i="1"/>
  <c r="H95" i="1" s="1"/>
  <c r="G34" i="1"/>
  <c r="H34" i="1" s="1"/>
  <c r="G42" i="1"/>
  <c r="H42" i="1" s="1"/>
  <c r="G103" i="1"/>
  <c r="H103" i="1" s="1"/>
  <c r="G59" i="1"/>
  <c r="H59" i="1" s="1"/>
  <c r="G98" i="1"/>
  <c r="H98" i="1" s="1"/>
  <c r="G44" i="1"/>
  <c r="H44" i="1" s="1"/>
  <c r="G102" i="1"/>
  <c r="H102" i="1" s="1"/>
  <c r="G181" i="1"/>
  <c r="H181" i="1" s="1"/>
  <c r="G183" i="1"/>
  <c r="H183" i="1" s="1"/>
  <c r="G124" i="1"/>
  <c r="H124" i="1" s="1"/>
  <c r="G67" i="1"/>
  <c r="H67" i="1" s="1"/>
  <c r="G68" i="1"/>
  <c r="H68" i="1" s="1"/>
  <c r="G78" i="1"/>
  <c r="H78" i="1" s="1"/>
  <c r="G93" i="1"/>
  <c r="H93" i="1" s="1"/>
  <c r="G39" i="1"/>
  <c r="H39" i="1" s="1"/>
  <c r="G101" i="1"/>
  <c r="H101" i="1" s="1"/>
  <c r="G49" i="1"/>
  <c r="H49" i="1" s="1"/>
  <c r="G27" i="1"/>
  <c r="H27" i="1" s="1"/>
  <c r="C14" i="1" l="1"/>
  <c r="E14" i="1" s="1"/>
  <c r="C18" i="1"/>
  <c r="E18" i="1" s="1"/>
  <c r="C17" i="1"/>
  <c r="E17" i="1" s="1"/>
  <c r="C20" i="1"/>
  <c r="E20" i="1" s="1"/>
  <c r="C19" i="1"/>
  <c r="E19" i="1"/>
  <c r="C21" i="1"/>
  <c r="E21" i="1"/>
  <c r="C16" i="1"/>
  <c r="E16" i="1" s="1"/>
  <c r="C15" i="1"/>
  <c r="E15" i="1"/>
  <c r="C22" i="1"/>
  <c r="E22" i="1" s="1"/>
  <c r="C23" i="1"/>
  <c r="E23" i="1" s="1"/>
  <c r="C24" i="1"/>
  <c r="E24" i="1"/>
  <c r="C25" i="1"/>
  <c r="E25" i="1"/>
  <c r="C26" i="1"/>
  <c r="E26" i="1" s="1"/>
  <c r="F14" i="1" l="1"/>
  <c r="F21" i="1"/>
  <c r="F13" i="1"/>
  <c r="F25" i="1"/>
  <c r="F26" i="1"/>
  <c r="F22" i="1"/>
  <c r="F16" i="1"/>
  <c r="F20" i="1"/>
  <c r="F19" i="1"/>
  <c r="F15" i="1"/>
  <c r="F24" i="1"/>
  <c r="F23" i="1"/>
  <c r="F18" i="1"/>
  <c r="F17" i="1"/>
  <c r="G24" i="1" l="1"/>
  <c r="H24" i="1" s="1"/>
  <c r="G20" i="1"/>
  <c r="H20" i="1" s="1"/>
  <c r="G16" i="1"/>
  <c r="H16" i="1" s="1"/>
  <c r="G17" i="1"/>
  <c r="H17" i="1" s="1"/>
  <c r="G22" i="1"/>
  <c r="H22" i="1" s="1"/>
  <c r="G18" i="1"/>
  <c r="H18" i="1" s="1"/>
  <c r="G26" i="1"/>
  <c r="H26" i="1" s="1"/>
  <c r="G23" i="1"/>
  <c r="H23" i="1" s="1"/>
  <c r="G25" i="1"/>
  <c r="H25" i="1" s="1"/>
  <c r="G13" i="1"/>
  <c r="H13" i="1" s="1"/>
  <c r="G15" i="1"/>
  <c r="H15" i="1" s="1"/>
  <c r="G21" i="1"/>
  <c r="H21" i="1" s="1"/>
  <c r="G19" i="1"/>
  <c r="H19" i="1" s="1"/>
  <c r="G14" i="1"/>
  <c r="H14" i="1" s="1"/>
  <c r="E21" i="2" l="1"/>
  <c r="F21" i="2" s="1"/>
  <c r="G21" i="2" s="1"/>
  <c r="C22" i="2" s="1" a="1"/>
  <c r="C22" i="2" s="1"/>
  <c r="E22" i="2" l="1"/>
  <c r="F22" i="2" s="1"/>
  <c r="G22" i="2" s="1"/>
  <c r="C23" i="2" s="1" a="1"/>
  <c r="C23" i="2" s="1"/>
  <c r="E23" i="2" l="1"/>
  <c r="F23" i="2" s="1"/>
  <c r="G23" i="2" s="1"/>
  <c r="C24" i="2" s="1" a="1"/>
  <c r="C24" i="2" s="1"/>
  <c r="E24" i="2" l="1"/>
  <c r="F24" i="2" s="1"/>
  <c r="G24" i="2" s="1"/>
  <c r="C25" i="2" s="1" a="1"/>
  <c r="C25" i="2" s="1"/>
  <c r="E25" i="2" l="1"/>
  <c r="F25" i="2" s="1"/>
  <c r="G25" i="2" s="1"/>
  <c r="C26" i="2" s="1" a="1"/>
  <c r="C26" i="2" s="1"/>
  <c r="E26" i="2" l="1"/>
  <c r="F26" i="2" s="1"/>
  <c r="G26" i="2" s="1"/>
  <c r="C27" i="2" s="1" a="1"/>
  <c r="C27" i="2" s="1"/>
  <c r="E27" i="2" l="1"/>
  <c r="F27" i="2" s="1"/>
  <c r="G27" i="2" s="1"/>
  <c r="C28" i="2" s="1" a="1"/>
  <c r="C28" i="2" s="1"/>
  <c r="E28" i="2" l="1"/>
  <c r="F28" i="2" s="1"/>
  <c r="G28" i="2" s="1"/>
  <c r="C29" i="2" s="1" a="1"/>
  <c r="C29" i="2" s="1"/>
  <c r="E29" i="2" l="1"/>
  <c r="F29" i="2" s="1"/>
  <c r="G29" i="2" s="1"/>
  <c r="C30" i="2" s="1" a="1"/>
  <c r="C30" i="2" s="1"/>
  <c r="E30" i="2" l="1"/>
  <c r="F30" i="2" s="1"/>
  <c r="G30" i="2" s="1"/>
  <c r="C31" i="2" s="1" a="1"/>
  <c r="C31" i="2" s="1"/>
  <c r="E31" i="2" l="1"/>
  <c r="F31" i="2" s="1"/>
  <c r="G31" i="2" s="1"/>
  <c r="C32" i="2" s="1" a="1"/>
  <c r="C32" i="2" s="1"/>
  <c r="E32" i="2" l="1"/>
  <c r="F32" i="2" s="1"/>
  <c r="G32" i="2" s="1"/>
  <c r="C33" i="2" s="1" a="1"/>
  <c r="C33" i="2" s="1"/>
  <c r="E33" i="2" l="1"/>
  <c r="F33" i="2" s="1"/>
  <c r="G33" i="2" s="1"/>
  <c r="C34" i="2" s="1" a="1"/>
  <c r="C34" i="2" s="1"/>
  <c r="E34" i="2" l="1"/>
  <c r="F34" i="2" s="1"/>
  <c r="G34" i="2" s="1"/>
  <c r="C35" i="2" s="1" a="1"/>
  <c r="C35" i="2" s="1"/>
  <c r="E35" i="2" l="1"/>
  <c r="F35" i="2" s="1"/>
  <c r="G35" i="2" s="1"/>
  <c r="C36" i="2" s="1" a="1"/>
  <c r="C36" i="2" s="1"/>
  <c r="E36" i="2" l="1"/>
  <c r="F36" i="2" s="1"/>
  <c r="G36" i="2" s="1"/>
  <c r="C37" i="2" s="1" a="1"/>
  <c r="C37" i="2" s="1"/>
  <c r="E37" i="2" l="1"/>
  <c r="F37" i="2" s="1"/>
  <c r="G37" i="2" s="1"/>
  <c r="C38" i="2" s="1" a="1"/>
  <c r="C38" i="2" s="1"/>
  <c r="E38" i="2" l="1"/>
  <c r="F38" i="2" s="1"/>
  <c r="G38" i="2" s="1"/>
  <c r="C39" i="2" s="1" a="1"/>
  <c r="C39" i="2" s="1"/>
  <c r="E39" i="2" l="1"/>
  <c r="F39" i="2" s="1"/>
  <c r="G39" i="2" s="1"/>
  <c r="C40" i="2" s="1" a="1"/>
  <c r="C40" i="2" s="1"/>
  <c r="E40" i="2" l="1"/>
  <c r="F40" i="2" s="1"/>
  <c r="G40" i="2" s="1"/>
  <c r="C41" i="2" s="1" a="1"/>
  <c r="C41" i="2" s="1"/>
  <c r="E41" i="2" l="1"/>
  <c r="F41" i="2" s="1"/>
  <c r="G41" i="2" s="1"/>
  <c r="C42" i="2" s="1" a="1"/>
  <c r="C42" i="2" s="1"/>
  <c r="E42" i="2" l="1"/>
  <c r="F42" i="2" s="1"/>
  <c r="G42" i="2" s="1"/>
  <c r="C43" i="2" s="1" a="1"/>
  <c r="C43" i="2" s="1"/>
  <c r="E43" i="2" l="1"/>
  <c r="F43" i="2" s="1"/>
  <c r="G43" i="2" s="1"/>
  <c r="C44" i="2" s="1" a="1"/>
  <c r="C44" i="2" s="1"/>
  <c r="E44" i="2" l="1"/>
  <c r="F44" i="2" s="1"/>
  <c r="G44" i="2" s="1"/>
  <c r="C45" i="2" s="1" a="1"/>
  <c r="C45" i="2" s="1"/>
  <c r="E45" i="2" l="1"/>
  <c r="F45" i="2" s="1"/>
  <c r="G45" i="2" s="1"/>
  <c r="C46" i="2" s="1" a="1"/>
  <c r="C46" i="2" s="1"/>
  <c r="E46" i="2" l="1"/>
  <c r="F46" i="2" s="1"/>
  <c r="G46" i="2" s="1"/>
  <c r="C47" i="2" s="1" a="1"/>
  <c r="C47" i="2" s="1"/>
  <c r="E47" i="2" l="1"/>
  <c r="F47" i="2" s="1"/>
  <c r="G47" i="2" s="1"/>
  <c r="C48" i="2" s="1" a="1"/>
  <c r="C48" i="2" s="1"/>
  <c r="E48" i="2" l="1"/>
  <c r="F48" i="2" s="1"/>
  <c r="G48" i="2" s="1"/>
  <c r="C49" i="2" s="1" a="1"/>
  <c r="C49" i="2" s="1"/>
  <c r="E49" i="2" l="1"/>
  <c r="F49" i="2" s="1"/>
  <c r="G49" i="2" s="1"/>
  <c r="C50" i="2" s="1" a="1"/>
  <c r="C50" i="2" s="1"/>
  <c r="E50" i="2" l="1"/>
  <c r="F50" i="2" s="1"/>
  <c r="G50" i="2" s="1"/>
  <c r="C51" i="2" s="1" a="1"/>
  <c r="C51" i="2" s="1"/>
  <c r="E51" i="2" l="1"/>
  <c r="F51" i="2" s="1"/>
  <c r="G51" i="2" s="1"/>
  <c r="C52" i="2" s="1" a="1"/>
  <c r="C52" i="2" s="1"/>
  <c r="E52" i="2" l="1"/>
  <c r="F52" i="2" s="1"/>
  <c r="G52" i="2" s="1"/>
  <c r="C53" i="2" s="1" a="1"/>
  <c r="C53" i="2" s="1"/>
  <c r="E53" i="2" l="1"/>
  <c r="F53" i="2" s="1"/>
  <c r="G53" i="2" s="1"/>
  <c r="C54" i="2" s="1" a="1"/>
  <c r="C54" i="2" s="1"/>
  <c r="E54" i="2" l="1"/>
  <c r="F54" i="2" s="1"/>
  <c r="G54" i="2" s="1"/>
  <c r="C55" i="2" s="1" a="1"/>
  <c r="C55" i="2" s="1"/>
  <c r="E55" i="2" l="1"/>
  <c r="F55" i="2" s="1"/>
  <c r="G55" i="2" s="1"/>
  <c r="C56" i="2" s="1" a="1"/>
  <c r="C56" i="2" s="1"/>
  <c r="E56" i="2" l="1"/>
  <c r="F56" i="2" s="1"/>
  <c r="G56" i="2" s="1"/>
  <c r="C57" i="2" s="1" a="1"/>
  <c r="C57" i="2" s="1"/>
  <c r="E57" i="2" l="1"/>
  <c r="F57" i="2" s="1"/>
  <c r="G57" i="2" s="1"/>
  <c r="C58" i="2" s="1" a="1"/>
  <c r="C58" i="2" s="1"/>
  <c r="E58" i="2" l="1"/>
  <c r="F58" i="2" s="1"/>
  <c r="G58" i="2" s="1"/>
  <c r="C59" i="2" s="1" a="1"/>
  <c r="C59" i="2" s="1"/>
  <c r="E59" i="2" l="1"/>
  <c r="F59" i="2" s="1"/>
  <c r="G59" i="2" s="1"/>
  <c r="C60" i="2" s="1" a="1"/>
  <c r="C60" i="2" s="1"/>
  <c r="E60" i="2" l="1"/>
  <c r="F60" i="2" s="1"/>
  <c r="G60" i="2" s="1"/>
  <c r="C61" i="2" s="1" a="1"/>
  <c r="C61" i="2" s="1"/>
  <c r="E61" i="2" l="1"/>
  <c r="F61" i="2" s="1"/>
  <c r="G61" i="2" s="1"/>
  <c r="C62" i="2" s="1" a="1"/>
  <c r="C62" i="2" s="1"/>
  <c r="E62" i="2" l="1"/>
  <c r="F62" i="2" s="1"/>
  <c r="G62" i="2" s="1"/>
  <c r="C63" i="2" s="1" a="1"/>
  <c r="C63" i="2" s="1"/>
  <c r="E63" i="2" l="1"/>
  <c r="F63" i="2" s="1"/>
  <c r="G63" i="2" s="1"/>
  <c r="C64" i="2" s="1" a="1"/>
  <c r="C64" i="2" s="1"/>
  <c r="E64" i="2" l="1"/>
  <c r="F64" i="2" s="1"/>
  <c r="G64" i="2" s="1"/>
  <c r="C65" i="2" s="1" a="1"/>
  <c r="C65" i="2" s="1"/>
  <c r="E65" i="2" l="1"/>
  <c r="F65" i="2" s="1"/>
  <c r="G65" i="2" s="1"/>
  <c r="C66" i="2" s="1" a="1"/>
  <c r="C66" i="2" s="1"/>
  <c r="E66" i="2" l="1"/>
  <c r="F66" i="2" s="1"/>
  <c r="G66" i="2" s="1"/>
  <c r="C67" i="2" s="1" a="1"/>
  <c r="C67" i="2" s="1"/>
  <c r="E67" i="2" l="1"/>
  <c r="F67" i="2" s="1"/>
  <c r="G67" i="2" s="1"/>
  <c r="C68" i="2" s="1" a="1"/>
  <c r="C68" i="2" s="1"/>
  <c r="E68" i="2" l="1"/>
  <c r="F68" i="2" s="1"/>
  <c r="G68" i="2" s="1"/>
  <c r="C69" i="2" s="1" a="1"/>
  <c r="C69" i="2" s="1"/>
  <c r="E69" i="2" l="1"/>
  <c r="F69" i="2" s="1"/>
  <c r="G69" i="2" s="1"/>
  <c r="C70" i="2" s="1" a="1"/>
  <c r="C70" i="2" s="1"/>
  <c r="E70" i="2" l="1"/>
  <c r="F70" i="2" s="1"/>
  <c r="G70" i="2" s="1"/>
  <c r="C71" i="2" s="1" a="1"/>
  <c r="C71" i="2" s="1"/>
  <c r="E71" i="2" l="1"/>
  <c r="F71" i="2" s="1"/>
  <c r="G71" i="2" s="1"/>
  <c r="C72" i="2" s="1" a="1"/>
  <c r="C72" i="2" s="1"/>
  <c r="E72" i="2" l="1"/>
  <c r="F72" i="2" s="1"/>
  <c r="G72" i="2" s="1"/>
  <c r="C73" i="2" s="1" a="1"/>
  <c r="C73" i="2" s="1"/>
  <c r="E73" i="2" l="1"/>
  <c r="F73" i="2" s="1"/>
  <c r="G73" i="2" s="1"/>
  <c r="C74" i="2" s="1" a="1"/>
  <c r="C74" i="2" s="1"/>
  <c r="E74" i="2" l="1"/>
  <c r="F74" i="2" s="1"/>
  <c r="G74" i="2" s="1"/>
  <c r="C75" i="2" s="1" a="1"/>
  <c r="C75" i="2" s="1"/>
  <c r="E75" i="2" l="1"/>
  <c r="F75" i="2" s="1"/>
  <c r="G75" i="2" s="1"/>
  <c r="C76" i="2" s="1" a="1"/>
  <c r="C76" i="2" s="1"/>
  <c r="E76" i="2" l="1"/>
  <c r="F76" i="2" s="1"/>
  <c r="G76" i="2" s="1"/>
  <c r="C77" i="2" s="1" a="1"/>
  <c r="C77" i="2" s="1"/>
  <c r="E77" i="2" l="1"/>
  <c r="F77" i="2" s="1"/>
  <c r="G77" i="2" s="1"/>
  <c r="C78" i="2" s="1" a="1"/>
  <c r="C78" i="2" s="1"/>
  <c r="E78" i="2" l="1"/>
  <c r="F78" i="2" s="1"/>
  <c r="G78" i="2" s="1"/>
  <c r="C79" i="2" s="1" a="1"/>
  <c r="C79" i="2" s="1"/>
  <c r="E79" i="2" l="1"/>
  <c r="F79" i="2" s="1"/>
  <c r="G79" i="2" s="1"/>
  <c r="C80" i="2" s="1" a="1"/>
  <c r="C80" i="2" s="1"/>
  <c r="E80" i="2" l="1"/>
  <c r="F80" i="2" s="1"/>
  <c r="G80" i="2" s="1"/>
  <c r="C81" i="2" s="1" a="1"/>
  <c r="C81" i="2" s="1"/>
  <c r="E81" i="2" l="1"/>
  <c r="F81" i="2" s="1"/>
  <c r="G81" i="2" s="1"/>
  <c r="C82" i="2" s="1" a="1"/>
  <c r="C82" i="2" s="1"/>
  <c r="E82" i="2" l="1"/>
  <c r="F82" i="2" s="1"/>
  <c r="G82" i="2" s="1"/>
  <c r="C83" i="2" s="1" a="1"/>
  <c r="C83" i="2" s="1"/>
  <c r="E83" i="2" l="1"/>
  <c r="F83" i="2" s="1"/>
  <c r="G83" i="2" s="1"/>
  <c r="C84" i="2" s="1" a="1"/>
  <c r="C84" i="2" s="1"/>
  <c r="E84" i="2" l="1"/>
  <c r="F84" i="2" s="1"/>
  <c r="G84" i="2" s="1"/>
  <c r="C85" i="2" s="1" a="1"/>
  <c r="C85" i="2" s="1"/>
  <c r="E85" i="2" l="1"/>
  <c r="F85" i="2" s="1"/>
  <c r="G85" i="2" s="1"/>
  <c r="C86" i="2" s="1" a="1"/>
  <c r="C86" i="2" s="1"/>
  <c r="E86" i="2" l="1"/>
  <c r="F86" i="2" s="1"/>
  <c r="G86" i="2" s="1"/>
  <c r="C87" i="2" s="1" a="1"/>
  <c r="C87" i="2" s="1"/>
  <c r="E87" i="2" l="1"/>
  <c r="F87" i="2" s="1"/>
  <c r="G87" i="2" s="1"/>
  <c r="C88" i="2" s="1" a="1"/>
  <c r="C88" i="2" s="1"/>
  <c r="E88" i="2" l="1"/>
  <c r="F88" i="2" s="1"/>
  <c r="G88" i="2" s="1"/>
  <c r="C89" i="2" s="1" a="1"/>
  <c r="C89" i="2" s="1"/>
  <c r="E89" i="2" l="1"/>
  <c r="F89" i="2" s="1"/>
  <c r="G89" i="2" s="1"/>
  <c r="C90" i="2" s="1" a="1"/>
  <c r="C90" i="2" s="1"/>
  <c r="E90" i="2" l="1"/>
  <c r="F90" i="2" s="1"/>
  <c r="G90" i="2" s="1"/>
  <c r="C91" i="2" s="1" a="1"/>
  <c r="C91" i="2" s="1"/>
  <c r="E91" i="2" l="1"/>
  <c r="F91" i="2" s="1"/>
  <c r="G91" i="2" s="1"/>
  <c r="C92" i="2" s="1" a="1"/>
  <c r="C92" i="2" s="1"/>
  <c r="E92" i="2" l="1"/>
  <c r="F92" i="2" s="1"/>
  <c r="G92" i="2" s="1"/>
  <c r="C93" i="2" s="1" a="1"/>
  <c r="C93" i="2" s="1"/>
  <c r="E93" i="2" l="1"/>
  <c r="F93" i="2" s="1"/>
  <c r="G93" i="2" s="1"/>
  <c r="C94" i="2" s="1" a="1"/>
  <c r="C94" i="2" s="1"/>
  <c r="E94" i="2" l="1"/>
  <c r="F94" i="2" s="1"/>
  <c r="G94" i="2" s="1"/>
  <c r="C95" i="2" s="1" a="1"/>
  <c r="C95" i="2" s="1"/>
  <c r="E95" i="2" l="1"/>
  <c r="F95" i="2" s="1"/>
  <c r="G95" i="2" s="1"/>
  <c r="C96" i="2" s="1" a="1"/>
  <c r="C96" i="2" s="1"/>
  <c r="E96" i="2" l="1"/>
  <c r="F96" i="2" s="1"/>
  <c r="G96" i="2" s="1"/>
  <c r="C97" i="2" s="1" a="1"/>
  <c r="C97" i="2" s="1"/>
  <c r="E97" i="2" l="1"/>
  <c r="F97" i="2" s="1"/>
  <c r="G97" i="2" s="1"/>
  <c r="C98" i="2" s="1" a="1"/>
  <c r="C98" i="2" s="1"/>
  <c r="E98" i="2" l="1"/>
  <c r="F98" i="2" s="1"/>
  <c r="G98" i="2" s="1"/>
  <c r="C99" i="2" s="1" a="1"/>
  <c r="C99" i="2" s="1"/>
  <c r="E99" i="2" l="1"/>
  <c r="F99" i="2" s="1"/>
  <c r="G99" i="2" s="1"/>
  <c r="C100" i="2" s="1" a="1"/>
  <c r="C100" i="2" s="1"/>
  <c r="E100" i="2" l="1"/>
  <c r="F100" i="2" s="1"/>
  <c r="G100" i="2" s="1"/>
  <c r="C101" i="2" s="1" a="1"/>
  <c r="C101" i="2" s="1"/>
  <c r="E101" i="2" l="1"/>
  <c r="F101" i="2" s="1"/>
  <c r="G101" i="2" s="1"/>
  <c r="C102" i="2" s="1" a="1"/>
  <c r="C102" i="2" s="1"/>
  <c r="E102" i="2" s="1"/>
  <c r="F102" i="2" s="1"/>
  <c r="G102" i="2" s="1"/>
  <c r="C103" i="2" s="1" a="1"/>
  <c r="C103" i="2" s="1"/>
  <c r="E103" i="2" s="1"/>
  <c r="F103" i="2" s="1"/>
  <c r="G103" i="2" s="1"/>
  <c r="C104" i="2" s="1" a="1"/>
  <c r="C104" i="2" s="1"/>
  <c r="E104" i="2" l="1"/>
  <c r="F104" i="2" s="1"/>
  <c r="G104" i="2" s="1"/>
  <c r="C105" i="2" s="1" a="1"/>
  <c r="C105" i="2" s="1"/>
  <c r="E105" i="2" s="1"/>
  <c r="F105" i="2" s="1"/>
  <c r="G105" i="2" s="1"/>
  <c r="C106" i="2" s="1" a="1"/>
  <c r="C106" i="2" s="1"/>
  <c r="E106" i="2" s="1"/>
  <c r="F106" i="2" s="1"/>
  <c r="G106" i="2" s="1"/>
  <c r="C107" i="2" s="1" a="1"/>
  <c r="C107" i="2" s="1"/>
  <c r="E107" i="2" l="1"/>
  <c r="F107" i="2" s="1"/>
  <c r="G107" i="2" s="1"/>
  <c r="C108" i="2" s="1" a="1"/>
  <c r="C108" i="2" s="1"/>
  <c r="E108" i="2" s="1"/>
  <c r="F108" i="2" s="1"/>
  <c r="G108" i="2" s="1"/>
  <c r="C109" i="2" s="1" a="1"/>
  <c r="C109" i="2" s="1"/>
  <c r="E109" i="2" l="1"/>
  <c r="F109" i="2" s="1"/>
  <c r="G109" i="2" s="1"/>
  <c r="C110" i="2" s="1" a="1"/>
  <c r="C110" i="2" s="1"/>
  <c r="E110" i="2" l="1"/>
  <c r="F110" i="2" s="1"/>
  <c r="G110" i="2" s="1"/>
  <c r="C111" i="2" s="1" a="1"/>
  <c r="C111" i="2" s="1"/>
  <c r="E111" i="2" l="1"/>
  <c r="F111" i="2" s="1"/>
  <c r="G111" i="2" s="1"/>
  <c r="C112" i="2" s="1" a="1"/>
  <c r="C112" i="2" s="1"/>
  <c r="E112" i="2" l="1"/>
  <c r="F112" i="2" s="1"/>
  <c r="G112" i="2" s="1"/>
  <c r="C113" i="2" s="1" a="1"/>
  <c r="C113" i="2" s="1"/>
  <c r="E113" i="2" s="1"/>
  <c r="F113" i="2" s="1"/>
  <c r="G113" i="2" s="1"/>
  <c r="C114" i="2" s="1" a="1"/>
  <c r="C114" i="2" s="1"/>
  <c r="E114" i="2" l="1"/>
  <c r="F114" i="2" s="1"/>
  <c r="G114" i="2" s="1"/>
  <c r="C115" i="2" s="1" a="1"/>
  <c r="C115" i="2" s="1"/>
  <c r="E115" i="2" s="1"/>
  <c r="F115" i="2" s="1"/>
  <c r="G115" i="2" s="1"/>
  <c r="C116" i="2" s="1" a="1"/>
  <c r="C116" i="2" s="1"/>
  <c r="E116" i="2" s="1"/>
  <c r="F116" i="2" s="1"/>
  <c r="G116" i="2" s="1"/>
  <c r="C117" i="2" s="1" a="1"/>
  <c r="C117" i="2" s="1"/>
  <c r="E117" i="2" s="1"/>
  <c r="F117" i="2" s="1"/>
  <c r="G117" i="2" s="1"/>
  <c r="C118" i="2" s="1" a="1"/>
  <c r="C118" i="2" s="1"/>
  <c r="E118" i="2" s="1"/>
  <c r="F118" i="2" s="1"/>
  <c r="G118" i="2" s="1"/>
  <c r="C119" i="2" s="1" a="1"/>
  <c r="C119" i="2" s="1"/>
  <c r="E119" i="2" s="1"/>
  <c r="F119" i="2" s="1"/>
  <c r="G119" i="2" s="1"/>
  <c r="C120" i="2" s="1" a="1"/>
  <c r="C120" i="2" s="1"/>
  <c r="E120" i="2" l="1"/>
  <c r="F120" i="2" s="1"/>
  <c r="G120" i="2" s="1"/>
  <c r="C121" i="2" s="1" a="1"/>
  <c r="C121" i="2" s="1"/>
  <c r="E121" i="2" l="1"/>
  <c r="F121" i="2" s="1"/>
  <c r="G121" i="2" s="1"/>
  <c r="C122" i="2" s="1" a="1"/>
  <c r="C122" i="2" s="1"/>
  <c r="E122" i="2" l="1"/>
  <c r="F122" i="2" s="1"/>
  <c r="G122" i="2" s="1"/>
  <c r="C123" i="2" s="1" a="1"/>
  <c r="C123" i="2" s="1"/>
  <c r="E123" i="2" s="1"/>
  <c r="F123" i="2" s="1"/>
  <c r="G123" i="2" s="1"/>
  <c r="C124" i="2" s="1" a="1"/>
  <c r="C124" i="2" s="1"/>
  <c r="E124" i="2" l="1"/>
  <c r="F124" i="2" s="1"/>
  <c r="G124" i="2" s="1"/>
  <c r="C125" i="2" s="1" a="1"/>
  <c r="C125" i="2" s="1"/>
  <c r="E125" i="2" s="1"/>
  <c r="F125" i="2" s="1"/>
  <c r="G125" i="2" s="1"/>
  <c r="C126" i="2" s="1" a="1"/>
  <c r="C126" i="2" s="1"/>
  <c r="E126" i="2" s="1"/>
  <c r="F126" i="2" s="1"/>
  <c r="G126" i="2" s="1"/>
  <c r="C127" i="2" s="1" a="1"/>
  <c r="C127" i="2" s="1"/>
  <c r="E127" i="2" s="1"/>
  <c r="F127" i="2" s="1"/>
  <c r="G127" i="2" s="1"/>
  <c r="C128" i="2" s="1" a="1"/>
  <c r="C128" i="2" s="1"/>
  <c r="E128" i="2" s="1"/>
  <c r="F128" i="2" s="1"/>
  <c r="G128" i="2" s="1"/>
  <c r="C129" i="2" s="1" a="1"/>
  <c r="C129" i="2" s="1"/>
  <c r="E129" i="2" s="1"/>
  <c r="F129" i="2" s="1"/>
  <c r="G129" i="2" s="1"/>
  <c r="C130" i="2" s="1" a="1"/>
  <c r="C130" i="2" s="1"/>
  <c r="E130" i="2" s="1"/>
  <c r="F130" i="2" s="1"/>
  <c r="G130" i="2" s="1"/>
  <c r="C131" i="2" s="1" a="1"/>
  <c r="C131" i="2" s="1"/>
  <c r="E131" i="2" s="1"/>
  <c r="F131" i="2" s="1"/>
  <c r="G131" i="2" s="1"/>
  <c r="C132" i="2" s="1" a="1"/>
  <c r="C132" i="2" s="1"/>
  <c r="E132" i="2" l="1"/>
  <c r="F132" i="2" s="1"/>
  <c r="G132" i="2" s="1"/>
  <c r="C133" i="2" s="1" a="1"/>
  <c r="C133" i="2" s="1"/>
  <c r="E133" i="2" s="1"/>
  <c r="F133" i="2" s="1"/>
  <c r="G133" i="2" s="1"/>
  <c r="C134" i="2" s="1" a="1"/>
  <c r="C134" i="2" s="1"/>
  <c r="E134" i="2" l="1"/>
  <c r="F134" i="2" s="1"/>
  <c r="G134" i="2" s="1"/>
  <c r="C135" i="2" s="1" a="1"/>
  <c r="C135" i="2" s="1"/>
  <c r="E135" i="2" l="1"/>
  <c r="F135" i="2" s="1"/>
  <c r="G135" i="2" s="1"/>
  <c r="C136" i="2" s="1" a="1"/>
  <c r="C136" i="2" s="1"/>
  <c r="E136" i="2" l="1"/>
  <c r="F136" i="2" s="1"/>
  <c r="G136" i="2" s="1"/>
  <c r="C137" i="2" s="1" a="1"/>
  <c r="C137" i="2" s="1"/>
  <c r="E137" i="2" l="1"/>
  <c r="F137" i="2" s="1"/>
  <c r="G137" i="2" s="1"/>
  <c r="C138" i="2" s="1" a="1"/>
  <c r="C138" i="2" s="1"/>
  <c r="E138" i="2" l="1"/>
  <c r="F138" i="2" s="1"/>
  <c r="G138" i="2" s="1"/>
  <c r="C139" i="2" s="1" a="1"/>
  <c r="C139" i="2" s="1"/>
  <c r="E139" i="2" s="1"/>
  <c r="F139" i="2" s="1"/>
  <c r="G139" i="2" s="1"/>
  <c r="C140" i="2" s="1" a="1"/>
  <c r="C140" i="2" s="1"/>
  <c r="E140" i="2" s="1"/>
  <c r="F140" i="2" s="1"/>
  <c r="G140" i="2" s="1"/>
  <c r="C141" i="2" s="1" a="1"/>
  <c r="C141" i="2" s="1"/>
  <c r="E141" i="2" s="1"/>
  <c r="F141" i="2" s="1"/>
  <c r="G141" i="2" s="1"/>
  <c r="C142" i="2" s="1" a="1"/>
  <c r="C142" i="2" s="1"/>
  <c r="E142" i="2" s="1"/>
  <c r="F142" i="2" s="1"/>
  <c r="G142" i="2" s="1"/>
  <c r="C143" i="2" s="1" a="1"/>
  <c r="C143" i="2" s="1"/>
  <c r="E143" i="2" l="1"/>
  <c r="F143" i="2" s="1"/>
  <c r="G143" i="2" s="1"/>
  <c r="C144" i="2" s="1" a="1"/>
  <c r="C144" i="2" s="1"/>
  <c r="E144" i="2" l="1"/>
  <c r="F144" i="2" s="1"/>
  <c r="G144" i="2" s="1"/>
  <c r="C145" i="2" s="1" a="1"/>
  <c r="C145" i="2" s="1"/>
  <c r="E145" i="2" l="1"/>
  <c r="F145" i="2" s="1"/>
  <c r="G145" i="2" s="1"/>
  <c r="C146" i="2" s="1" a="1"/>
  <c r="C146" i="2" s="1"/>
  <c r="E146" i="2" l="1"/>
  <c r="F146" i="2" s="1"/>
  <c r="G146" i="2" s="1"/>
  <c r="C147" i="2" s="1" a="1"/>
  <c r="C147" i="2" s="1"/>
  <c r="E147" i="2" l="1"/>
  <c r="F147" i="2" s="1"/>
  <c r="G147" i="2" s="1"/>
  <c r="C148" i="2" s="1" a="1"/>
  <c r="C148" i="2" s="1"/>
  <c r="E148" i="2" s="1"/>
  <c r="F148" i="2" s="1"/>
  <c r="G148" i="2" s="1"/>
  <c r="C149" i="2" s="1" a="1"/>
  <c r="C149" i="2" s="1"/>
  <c r="E149" i="2" s="1"/>
  <c r="F149" i="2" s="1"/>
  <c r="G149" i="2" s="1"/>
  <c r="C150" i="2" s="1" a="1"/>
  <c r="C150" i="2" s="1"/>
  <c r="E150" i="2" s="1"/>
  <c r="F150" i="2" s="1"/>
  <c r="G150" i="2" s="1"/>
  <c r="C151" i="2" s="1" a="1"/>
  <c r="C151" i="2" s="1"/>
  <c r="E151" i="2" s="1"/>
  <c r="F151" i="2" s="1"/>
  <c r="G151" i="2" s="1"/>
  <c r="C152" i="2" s="1" a="1"/>
  <c r="C152" i="2" s="1"/>
  <c r="E152" i="2" l="1"/>
  <c r="F152" i="2" s="1"/>
  <c r="G152" i="2" s="1"/>
  <c r="C153" i="2" s="1" a="1"/>
  <c r="C153" i="2" s="1"/>
  <c r="E153" i="2" l="1"/>
  <c r="F153" i="2" s="1"/>
  <c r="G153" i="2" s="1"/>
  <c r="C154" i="2" s="1" a="1"/>
  <c r="C154" i="2" s="1"/>
  <c r="E154" i="2" l="1"/>
  <c r="F154" i="2" s="1"/>
  <c r="G154" i="2" s="1"/>
  <c r="C155" i="2" s="1" a="1"/>
  <c r="C155" i="2" s="1"/>
  <c r="E155" i="2" s="1"/>
  <c r="F155" i="2" s="1"/>
  <c r="G155" i="2" s="1"/>
  <c r="C156" i="2" s="1" a="1"/>
  <c r="C156" i="2" s="1"/>
  <c r="E156" i="2" s="1"/>
  <c r="F156" i="2" s="1"/>
  <c r="G156" i="2" s="1"/>
  <c r="C157" i="2" s="1" a="1"/>
  <c r="C157" i="2" s="1"/>
  <c r="E157" i="2" s="1"/>
  <c r="F157" i="2" s="1"/>
  <c r="G157" i="2" s="1"/>
  <c r="C158" i="2" s="1" a="1"/>
  <c r="C158" i="2" s="1"/>
  <c r="E158" i="2" l="1"/>
  <c r="F158" i="2" s="1"/>
  <c r="G158" i="2" s="1"/>
  <c r="C159" i="2" s="1" a="1"/>
  <c r="C159" i="2" s="1"/>
  <c r="E159" i="2" l="1"/>
  <c r="F159" i="2" s="1"/>
  <c r="G159" i="2" s="1"/>
  <c r="C160" i="2" s="1" a="1"/>
  <c r="C160" i="2" s="1"/>
  <c r="E160" i="2" s="1"/>
  <c r="F160" i="2" s="1"/>
  <c r="G160" i="2" s="1"/>
  <c r="C161" i="2" s="1" a="1"/>
  <c r="C161" i="2" s="1"/>
  <c r="E161" i="2" s="1"/>
  <c r="F161" i="2" s="1"/>
  <c r="G161" i="2" s="1"/>
  <c r="C162" i="2" s="1" a="1"/>
  <c r="C162" i="2" s="1"/>
  <c r="E162" i="2" l="1"/>
  <c r="F162" i="2" s="1"/>
  <c r="G162" i="2" s="1"/>
  <c r="C163" i="2" s="1" a="1"/>
  <c r="C163" i="2" s="1"/>
  <c r="E163" i="2" l="1"/>
  <c r="F163" i="2" s="1"/>
  <c r="G163" i="2" s="1"/>
  <c r="C164" i="2" s="1" a="1"/>
  <c r="C164" i="2" s="1"/>
  <c r="E164" i="2" s="1"/>
  <c r="F164" i="2" s="1"/>
  <c r="G164" i="2" s="1"/>
  <c r="C165" i="2" s="1" a="1"/>
  <c r="C165" i="2" s="1"/>
  <c r="E165" i="2" l="1"/>
  <c r="F165" i="2" s="1"/>
  <c r="G165" i="2" s="1"/>
  <c r="C166" i="2" s="1" a="1"/>
  <c r="C166" i="2" s="1"/>
  <c r="E166" i="2" l="1"/>
  <c r="F166" i="2" s="1"/>
  <c r="G166" i="2" s="1"/>
  <c r="C167" i="2" s="1" a="1"/>
  <c r="C167" i="2" s="1"/>
  <c r="E167" i="2" l="1"/>
  <c r="F167" i="2" s="1"/>
  <c r="G167" i="2" s="1"/>
  <c r="C168" i="2" s="1" a="1"/>
  <c r="C168" i="2" s="1"/>
  <c r="E168" i="2" l="1"/>
  <c r="F168" i="2" s="1"/>
  <c r="G168" i="2" s="1"/>
  <c r="C169" i="2" s="1" a="1"/>
  <c r="C169" i="2" s="1"/>
  <c r="E169" i="2" l="1"/>
  <c r="F169" i="2" s="1"/>
  <c r="G169" i="2" s="1"/>
  <c r="C170" i="2" s="1" a="1"/>
  <c r="C170" i="2" s="1"/>
  <c r="E170" i="2" s="1"/>
  <c r="F170" i="2" s="1"/>
  <c r="G170" i="2" s="1"/>
  <c r="C171" i="2" s="1" a="1"/>
  <c r="C171" i="2" s="1"/>
  <c r="E171" i="2" s="1"/>
  <c r="F171" i="2" s="1"/>
  <c r="G171" i="2" s="1"/>
  <c r="C172" i="2" s="1" a="1"/>
  <c r="C172" i="2" s="1"/>
  <c r="E172" i="2" s="1"/>
  <c r="F172" i="2" s="1"/>
  <c r="G172" i="2" s="1"/>
  <c r="C173" i="2" s="1" a="1"/>
  <c r="C173" i="2" s="1"/>
  <c r="E173" i="2" s="1"/>
  <c r="F173" i="2" s="1"/>
  <c r="G173" i="2" s="1"/>
  <c r="C174" i="2" s="1" a="1"/>
  <c r="C174" i="2" s="1"/>
  <c r="E174" i="2" s="1"/>
  <c r="F174" i="2" s="1"/>
  <c r="G174" i="2" s="1"/>
  <c r="C175" i="2" s="1" a="1"/>
  <c r="C175" i="2" s="1"/>
  <c r="E175" i="2" l="1"/>
  <c r="F175" i="2" s="1"/>
  <c r="G175" i="2" s="1"/>
  <c r="C176" i="2" s="1" a="1"/>
  <c r="C176" i="2" s="1"/>
  <c r="E176" i="2" s="1"/>
  <c r="F176" i="2" s="1"/>
  <c r="G176" i="2" s="1"/>
  <c r="C177" i="2" s="1" a="1"/>
  <c r="C177" i="2" s="1"/>
  <c r="E177" i="2" l="1"/>
  <c r="F177" i="2" s="1"/>
  <c r="G177" i="2" s="1"/>
  <c r="C178" i="2" s="1" a="1"/>
  <c r="C178" i="2" s="1"/>
  <c r="E178" i="2" l="1"/>
  <c r="F178" i="2" s="1"/>
  <c r="G178" i="2" s="1"/>
  <c r="C179" i="2" s="1" a="1"/>
  <c r="C179" i="2" s="1"/>
  <c r="E179" i="2" l="1"/>
  <c r="F179" i="2" s="1"/>
  <c r="G179" i="2" s="1"/>
  <c r="C180" i="2" s="1" a="1"/>
  <c r="C180" i="2" s="1"/>
  <c r="E180" i="2" s="1"/>
  <c r="F180" i="2" s="1"/>
  <c r="G180" i="2" s="1"/>
  <c r="C181" i="2" s="1" a="1"/>
  <c r="C181" i="2" s="1"/>
  <c r="E181" i="2" s="1"/>
  <c r="F181" i="2" s="1"/>
  <c r="G181" i="2" s="1"/>
  <c r="C182" i="2" s="1" a="1"/>
  <c r="C182" i="2" s="1"/>
  <c r="E182" i="2" s="1"/>
  <c r="F182" i="2" s="1"/>
  <c r="G182" i="2" s="1"/>
  <c r="C183" i="2" s="1" a="1"/>
  <c r="C183" i="2" s="1"/>
  <c r="E183" i="2" l="1"/>
  <c r="F183" i="2" s="1"/>
  <c r="G183" i="2" s="1"/>
  <c r="C184" i="2" s="1" a="1"/>
  <c r="C184" i="2" s="1"/>
  <c r="E184" i="2" s="1"/>
  <c r="F184" i="2" s="1"/>
  <c r="G184" i="2" s="1"/>
  <c r="C185" i="2" s="1" a="1"/>
  <c r="C185" i="2" s="1"/>
  <c r="E185" i="2" s="1"/>
  <c r="F185" i="2" s="1"/>
  <c r="G185" i="2" s="1"/>
  <c r="C186" i="2" s="1" a="1"/>
  <c r="C186" i="2" s="1"/>
  <c r="E186" i="2" s="1"/>
  <c r="F186" i="2" s="1"/>
  <c r="G186" i="2" s="1"/>
  <c r="C187" i="2" s="1" a="1"/>
  <c r="C187" i="2" s="1"/>
  <c r="E187" i="2" l="1"/>
  <c r="F187" i="2" s="1"/>
  <c r="G187" i="2" s="1"/>
  <c r="C188" i="2" s="1" a="1"/>
  <c r="C188" i="2" s="1"/>
  <c r="E188" i="2" l="1"/>
  <c r="F188" i="2" s="1"/>
  <c r="G188" i="2" s="1"/>
  <c r="C189" i="2" s="1" a="1"/>
  <c r="C189" i="2" s="1"/>
  <c r="E189" i="2" l="1"/>
  <c r="F189" i="2" s="1"/>
  <c r="G189" i="2" s="1"/>
  <c r="C190" i="2" s="1" a="1"/>
  <c r="C190" i="2" s="1"/>
  <c r="E190" i="2" l="1"/>
  <c r="F190" i="2" s="1"/>
  <c r="G190" i="2" s="1"/>
  <c r="C191" i="2" s="1" a="1"/>
  <c r="C191" i="2" s="1"/>
  <c r="E191" i="2" l="1"/>
  <c r="F191" i="2" s="1"/>
  <c r="G191" i="2" s="1"/>
  <c r="C192" i="2" s="1" a="1"/>
  <c r="C192" i="2" s="1"/>
  <c r="E192" i="2" s="1"/>
  <c r="F192" i="2" s="1"/>
  <c r="G192" i="2" s="1"/>
  <c r="C193" i="2" s="1" a="1"/>
  <c r="C193" i="2" s="1"/>
  <c r="E193" i="2" s="1"/>
  <c r="F193" i="2" s="1"/>
  <c r="G193" i="2" s="1"/>
  <c r="C194" i="2" s="1" a="1"/>
  <c r="C194" i="2" s="1"/>
  <c r="E194" i="2" s="1"/>
  <c r="F194" i="2" s="1"/>
  <c r="G194" i="2" s="1"/>
  <c r="C195" i="2" s="1" a="1"/>
  <c r="C195" i="2" s="1"/>
  <c r="E195" i="2" s="1"/>
  <c r="F195" i="2" s="1"/>
  <c r="G195" i="2" s="1"/>
  <c r="C196" i="2" s="1" a="1"/>
  <c r="C196" i="2" s="1"/>
  <c r="E196" i="2" l="1"/>
  <c r="F196" i="2" s="1"/>
  <c r="G196" i="2" s="1"/>
  <c r="C197" i="2" s="1" a="1"/>
  <c r="C197" i="2" s="1"/>
  <c r="E197" i="2" l="1"/>
  <c r="F197" i="2" s="1"/>
  <c r="G197" i="2"/>
  <c r="C198" i="2" s="1" a="1"/>
  <c r="C198" i="2" s="1"/>
  <c r="E198" i="2" l="1"/>
  <c r="F198" i="2" s="1"/>
  <c r="G198" i="2" s="1"/>
  <c r="C199" i="2" s="1" a="1"/>
  <c r="C199" i="2" s="1"/>
  <c r="E199" i="2" l="1"/>
  <c r="F199" i="2" s="1"/>
  <c r="G199" i="2" s="1"/>
  <c r="C200" i="2" s="1" a="1"/>
  <c r="C200" i="2" s="1"/>
  <c r="E200" i="2" s="1"/>
  <c r="F200" i="2" s="1"/>
  <c r="G200" i="2" s="1"/>
  <c r="C201" i="2" s="1" a="1"/>
  <c r="C201" i="2" s="1"/>
  <c r="E201" i="2" s="1"/>
  <c r="F201" i="2" s="1"/>
  <c r="G201" i="2" s="1"/>
  <c r="C202" i="2" s="1" a="1"/>
  <c r="C202" i="2" s="1"/>
  <c r="E202" i="2" l="1"/>
  <c r="F202" i="2" s="1"/>
  <c r="G202" i="2" s="1"/>
  <c r="C203" i="2" s="1" a="1"/>
  <c r="C203" i="2" s="1"/>
  <c r="E203" i="2" l="1"/>
  <c r="F203" i="2" s="1"/>
  <c r="G203" i="2" s="1"/>
  <c r="C204" i="2" s="1" a="1"/>
  <c r="C204" i="2" s="1"/>
  <c r="E204" i="2" s="1"/>
  <c r="F204" i="2" s="1"/>
  <c r="G204" i="2" s="1"/>
  <c r="C205" i="2" s="1" a="1"/>
  <c r="C205" i="2" s="1"/>
  <c r="E205" i="2" s="1"/>
  <c r="F205" i="2" s="1"/>
  <c r="G205" i="2" s="1"/>
  <c r="C206" i="2" s="1" a="1"/>
  <c r="C206" i="2" s="1"/>
  <c r="E206" i="2" s="1"/>
  <c r="F206" i="2" s="1"/>
  <c r="G206" i="2" s="1"/>
  <c r="C207" i="2" s="1" a="1"/>
  <c r="C207" i="2" s="1"/>
  <c r="E207" i="2" s="1"/>
  <c r="F207" i="2" s="1"/>
  <c r="G207" i="2" s="1"/>
  <c r="C208" i="2" s="1" a="1"/>
  <c r="C208" i="2" s="1"/>
  <c r="E208" i="2" s="1"/>
  <c r="F208" i="2" s="1"/>
  <c r="G208" i="2" s="1"/>
  <c r="C209" i="2" s="1" a="1"/>
  <c r="C209" i="2" s="1"/>
  <c r="E209" i="2" l="1"/>
  <c r="F209" i="2" s="1"/>
  <c r="G209" i="2"/>
  <c r="C210" i="2" s="1" a="1"/>
  <c r="C210" i="2" s="1"/>
  <c r="E210" i="2" l="1"/>
  <c r="F210" i="2" s="1"/>
  <c r="G210" i="2" s="1"/>
  <c r="C211" i="2" s="1" a="1"/>
  <c r="C211" i="2" s="1"/>
  <c r="E211" i="2" s="1"/>
  <c r="F211" i="2" s="1"/>
  <c r="G211" i="2" s="1"/>
  <c r="C212" i="2" s="1" a="1"/>
  <c r="C212" i="2" s="1"/>
  <c r="E212" i="2" s="1"/>
  <c r="F212" i="2" s="1"/>
  <c r="G212" i="2" s="1"/>
  <c r="C213" i="2" s="1" a="1"/>
  <c r="C213" i="2" s="1"/>
  <c r="E213" i="2" l="1"/>
  <c r="F213" i="2" s="1"/>
  <c r="G213" i="2" s="1"/>
  <c r="C214" i="2" s="1" a="1"/>
  <c r="C214" i="2" s="1"/>
  <c r="E214" i="2" l="1"/>
  <c r="F214" i="2" s="1"/>
  <c r="G214" i="2" s="1"/>
  <c r="C215" i="2" s="1" a="1"/>
  <c r="C215" i="2" s="1"/>
  <c r="E215" i="2" s="1"/>
  <c r="F215" i="2" s="1"/>
  <c r="G215" i="2" s="1"/>
  <c r="C216" i="2" s="1" a="1"/>
  <c r="C216" i="2" s="1"/>
  <c r="E216" i="2" s="1"/>
  <c r="F216" i="2" s="1"/>
  <c r="G216" i="2" s="1"/>
  <c r="C217" i="2" s="1" a="1"/>
  <c r="C217" i="2" s="1"/>
  <c r="E217" i="2" s="1"/>
  <c r="F217" i="2" s="1"/>
  <c r="G217" i="2" s="1"/>
  <c r="C218" i="2" s="1" a="1"/>
  <c r="C218" i="2" s="1"/>
  <c r="E218" i="2" s="1"/>
  <c r="F218" i="2" s="1"/>
  <c r="G218" i="2" s="1"/>
  <c r="C219" i="2" s="1" a="1"/>
  <c r="C219" i="2" s="1"/>
  <c r="E219" i="2" s="1"/>
  <c r="F219" i="2" s="1"/>
  <c r="G219" i="2" s="1"/>
  <c r="C220" i="2" s="1" a="1"/>
  <c r="C220" i="2" s="1"/>
  <c r="E220" i="2" s="1"/>
  <c r="F220" i="2" s="1"/>
  <c r="G22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<sst xmlns="http://schemas.openxmlformats.org/spreadsheetml/2006/main" count="38" uniqueCount="36">
  <si>
    <t>INPUTS</t>
  </si>
  <si>
    <t>ESCALATION BANDS (EDITABLE)</t>
  </si>
  <si>
    <t>Base Rent</t>
  </si>
  <si>
    <t>Start Year</t>
  </si>
  <si>
    <t>End Year</t>
  </si>
  <si>
    <t>Escalation %</t>
  </si>
  <si>
    <t>Lease Term (Years)</t>
  </si>
  <si>
    <t>Discount Rate</t>
  </si>
  <si>
    <t>Year</t>
  </si>
  <si>
    <t>Rent Factor</t>
  </si>
  <si>
    <t>Annual Payment</t>
  </si>
  <si>
    <t>Discount Factor</t>
  </si>
  <si>
    <t>PV of Payment</t>
  </si>
  <si>
    <t>Opening Balance</t>
  </si>
  <si>
    <t>Interest</t>
  </si>
  <si>
    <t>Closing Balance</t>
  </si>
  <si>
    <t>DYNAMIC 200-YEAR LEASE AMORTIZATION MODEL</t>
  </si>
  <si>
    <t>===========================================</t>
  </si>
  <si>
    <t>LEASE INPUTS (Change these values)</t>
  </si>
  <si>
    <t>-----------------------------------</t>
  </si>
  <si>
    <t>Lease Start Date:</t>
  </si>
  <si>
    <t>Base Annual Rent:</t>
  </si>
  <si>
    <t>Annual Interest Rate:</t>
  </si>
  <si>
    <t>Lease Term (Years):</t>
  </si>
  <si>
    <t>ESCALATION RULES TABLE (Enter ALL periods)</t>
  </si>
  <si>
    <t>-------------------------------------------</t>
  </si>
  <si>
    <t>From</t>
  </si>
  <si>
    <t>To</t>
  </si>
  <si>
    <t>Rate</t>
  </si>
  <si>
    <t>YEARLY AMORTIZATION SCHEDULE</t>
  </si>
  <si>
    <t>-----------------------------</t>
  </si>
  <si>
    <t>Date</t>
  </si>
  <si>
    <t>Payment</t>
  </si>
  <si>
    <t>Principal</t>
  </si>
  <si>
    <t>Ending Balance</t>
  </si>
  <si>
    <t>Begining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</si>
</sst>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7"/>
      <color rgb="FF0F1115"/>
      <name val="Consolas"/>
      <family val="3"/>
    </font>
    <font>
      <sz val="11"/>
      <color rgb="FF0F1115"/>
      <name val="Consolas"/>
      <family val="3"/>
    </font>
    <font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6" fontId="0" fillId="0" borderId="0" xfId="0" applyNumberFormat="1"/>
    <xf numFmtId="1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/>
    <xf numFmtId="14" fontId="2" fillId="0" borderId="0" xfId="0" applyNumberFormat="1" applyFont="1"/>
    <xf numFmtId="14" fontId="3" fillId="0" borderId="0" xfId="0" applyNumberFormat="1" applyFont="1"/>
    <xf numFmtId="1" fontId="0" fillId="0" borderId="0" xfId="0" applyNumberFormat="1"/>
    <xf numFmtId="2" fontId="0" fillId="0" borderId="0" xfId="0" applyNumberFormat="1"/>
    <xf numFmtId="1" fontId="1" fillId="0" borderId="0" xfId="0" applyNumberFormat="1" applyFont="1" applyAlignment="1">
      <alignment horizontal="left" vertical="center" wrapText="1" indent="1"/>
    </xf>
    <xf numFmtId="1" fontId="1" fillId="0" borderId="0" xfId="0" applyNumberFormat="1" applyFont="1"/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2"/>
  <sheetViews>
    <sheetView topLeftCell="A25" workbookViewId="0">
      <selection activeCell="B33" sqref="B33"/>
    </sheetView>
  </sheetViews>
  <sheetFormatPr defaultRowHeight="14.5" x14ac:dyDescent="0.35"/>
  <cols>
    <col min="2" max="2" width="10.26953125" bestFit="1" customWidth="1"/>
    <col min="4" max="4" width="27.36328125" bestFit="1" customWidth="1"/>
    <col min="5" max="5" width="12.90625" bestFit="1" customWidth="1"/>
    <col min="6" max="6" width="14.81640625" bestFit="1" customWidth="1"/>
  </cols>
  <sheetData>
    <row r="1" spans="1:8" x14ac:dyDescent="0.35">
      <c r="A1" t="s">
        <v>0</v>
      </c>
      <c r="D1" t="s">
        <v>1</v>
      </c>
    </row>
    <row r="3" spans="1:8" x14ac:dyDescent="0.35">
      <c r="A3" t="s">
        <v>2</v>
      </c>
      <c r="B3">
        <v>20000</v>
      </c>
      <c r="D3" t="s">
        <v>3</v>
      </c>
      <c r="E3" t="s">
        <v>4</v>
      </c>
      <c r="F3" t="s">
        <v>5</v>
      </c>
    </row>
    <row r="4" spans="1:8" x14ac:dyDescent="0.35">
      <c r="A4" t="s">
        <v>6</v>
      </c>
      <c r="B4">
        <v>20</v>
      </c>
      <c r="D4">
        <v>1</v>
      </c>
      <c r="E4">
        <v>5</v>
      </c>
      <c r="F4">
        <v>0</v>
      </c>
    </row>
    <row r="5" spans="1:8" x14ac:dyDescent="0.35">
      <c r="A5" t="s">
        <v>7</v>
      </c>
      <c r="B5">
        <v>0.2</v>
      </c>
      <c r="D5">
        <v>6</v>
      </c>
      <c r="E5">
        <v>10</v>
      </c>
      <c r="F5">
        <v>0.03</v>
      </c>
    </row>
    <row r="6" spans="1:8" x14ac:dyDescent="0.35">
      <c r="D6">
        <v>11</v>
      </c>
      <c r="E6">
        <v>15</v>
      </c>
      <c r="F6">
        <v>0.05</v>
      </c>
    </row>
    <row r="7" spans="1:8" x14ac:dyDescent="0.35">
      <c r="D7">
        <v>16</v>
      </c>
      <c r="E7">
        <v>20</v>
      </c>
      <c r="F7">
        <v>7.0000000000000007E-2</v>
      </c>
    </row>
    <row r="12" spans="1:8" x14ac:dyDescent="0.3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35">
      <c r="A13">
        <v>1</v>
      </c>
      <c r="B13">
        <f t="shared" ref="B13:B44" si="0">IF(A13&lt;=$B$4,PRODUCT(1+IF($D$4:$D$50&lt;=A13,$F$4:$F$50,0)),0)</f>
        <v>1</v>
      </c>
      <c r="C13">
        <f t="shared" ref="C13:C44" si="1">IF(A13&lt;=$B$4,$B$3*B13,0)</f>
        <v>20000</v>
      </c>
      <c r="D13">
        <f t="shared" ref="D13:D44" si="2">(1+$B$5)^A13</f>
        <v>1.2</v>
      </c>
      <c r="E13">
        <f t="shared" ref="E13:E44" si="3">IF(A13&lt;=$B$4,C13/D13,0)</f>
        <v>16666.666666666668</v>
      </c>
      <c r="F13">
        <f>SUMPRODUCT(($A$13:$A$212&lt;=$B$4)*($E$13:$E$212))</f>
        <v>97407.24510152392</v>
      </c>
      <c r="G13">
        <f t="shared" ref="G13:G44" si="4">F13*$B$5</f>
        <v>19481.449020304786</v>
      </c>
      <c r="H13">
        <f t="shared" ref="H13:H44" si="5">F13+G13-C13</f>
        <v>96888.69412182871</v>
      </c>
    </row>
    <row r="14" spans="1:8" x14ac:dyDescent="0.35">
      <c r="A14">
        <v>2</v>
      </c>
      <c r="B14">
        <v>1</v>
      </c>
      <c r="C14">
        <f t="shared" si="1"/>
        <v>20000</v>
      </c>
      <c r="D14">
        <f t="shared" si="2"/>
        <v>1.44</v>
      </c>
      <c r="E14">
        <f t="shared" si="3"/>
        <v>13888.888888888889</v>
      </c>
      <c r="F14">
        <f>SUMPRODUCT(($A$14:$A$212&lt;=$B$4)*($E$14:$E$212))</f>
        <v>80740.578434857234</v>
      </c>
      <c r="G14">
        <f t="shared" si="4"/>
        <v>16148.115686971447</v>
      </c>
      <c r="H14">
        <f t="shared" si="5"/>
        <v>76888.694121828681</v>
      </c>
    </row>
    <row r="15" spans="1:8" x14ac:dyDescent="0.35">
      <c r="A15">
        <v>3</v>
      </c>
      <c r="B15">
        <v>1</v>
      </c>
      <c r="C15">
        <f t="shared" si="1"/>
        <v>20000</v>
      </c>
      <c r="D15">
        <f t="shared" si="2"/>
        <v>1.728</v>
      </c>
      <c r="E15">
        <f t="shared" si="3"/>
        <v>11574.074074074075</v>
      </c>
      <c r="F15">
        <f>SUMPRODUCT(($A$15:$A$212&lt;=$B$4)*($E$15:$E$212))</f>
        <v>66851.689545968329</v>
      </c>
      <c r="G15">
        <f t="shared" si="4"/>
        <v>13370.337909193666</v>
      </c>
      <c r="H15">
        <f t="shared" si="5"/>
        <v>60222.027455161995</v>
      </c>
    </row>
    <row r="16" spans="1:8" x14ac:dyDescent="0.35">
      <c r="A16">
        <v>4</v>
      </c>
      <c r="B16">
        <v>1</v>
      </c>
      <c r="C16">
        <f t="shared" si="1"/>
        <v>20000</v>
      </c>
      <c r="D16">
        <f t="shared" si="2"/>
        <v>2.0735999999999999</v>
      </c>
      <c r="E16">
        <f t="shared" si="3"/>
        <v>9645.0617283950614</v>
      </c>
      <c r="F16">
        <f>SUMPRODUCT(($A$16:$A$212&lt;=$B$4)*($E$16:$E$212))</f>
        <v>55277.615471894242</v>
      </c>
      <c r="G16">
        <f t="shared" si="4"/>
        <v>11055.523094378848</v>
      </c>
      <c r="H16">
        <f t="shared" si="5"/>
        <v>46333.13856627309</v>
      </c>
    </row>
    <row r="17" spans="1:8" x14ac:dyDescent="0.35">
      <c r="A17">
        <v>5</v>
      </c>
      <c r="B17">
        <v>1</v>
      </c>
      <c r="C17">
        <f t="shared" si="1"/>
        <v>20000</v>
      </c>
      <c r="D17">
        <f t="shared" si="2"/>
        <v>2.4883199999999999</v>
      </c>
      <c r="E17">
        <f t="shared" si="3"/>
        <v>8037.5514403292182</v>
      </c>
      <c r="F17">
        <f>SUMPRODUCT(($A$17:$A$212&lt;=$B$4)*($E$17:$E$212))</f>
        <v>45632.553743499186</v>
      </c>
      <c r="G17">
        <f t="shared" si="4"/>
        <v>9126.5107486998368</v>
      </c>
      <c r="H17">
        <f t="shared" si="5"/>
        <v>34759.064492199024</v>
      </c>
    </row>
    <row r="18" spans="1:8" x14ac:dyDescent="0.35">
      <c r="A18">
        <v>6</v>
      </c>
      <c r="B18">
        <v>1</v>
      </c>
      <c r="C18">
        <f t="shared" si="1"/>
        <v>20000</v>
      </c>
      <c r="D18">
        <f t="shared" si="2"/>
        <v>2.9859839999999997</v>
      </c>
      <c r="E18">
        <f t="shared" si="3"/>
        <v>6697.9595336076827</v>
      </c>
      <c r="F18">
        <f>SUMPRODUCT(($A$18:$A$212&lt;=$B$4)*($E$18:$E$212))</f>
        <v>37595.002303169967</v>
      </c>
      <c r="G18">
        <f t="shared" si="4"/>
        <v>7519.0004606339935</v>
      </c>
      <c r="H18">
        <f t="shared" si="5"/>
        <v>25114.002763803961</v>
      </c>
    </row>
    <row r="19" spans="1:8" x14ac:dyDescent="0.35">
      <c r="A19">
        <v>7</v>
      </c>
      <c r="B19">
        <v>1</v>
      </c>
      <c r="C19">
        <f t="shared" si="1"/>
        <v>20000</v>
      </c>
      <c r="D19">
        <f t="shared" si="2"/>
        <v>3.5831807999999996</v>
      </c>
      <c r="E19">
        <f t="shared" si="3"/>
        <v>5581.6329446730688</v>
      </c>
      <c r="F19">
        <f>SUMPRODUCT(($A$19:$A$212&lt;=$B$4)*($E$19:$E$212))</f>
        <v>30897.042769562286</v>
      </c>
      <c r="G19">
        <f t="shared" si="4"/>
        <v>6179.4085539124571</v>
      </c>
      <c r="H19">
        <f t="shared" si="5"/>
        <v>17076.451323474743</v>
      </c>
    </row>
    <row r="20" spans="1:8" x14ac:dyDescent="0.35">
      <c r="A20">
        <v>8</v>
      </c>
      <c r="B20">
        <v>1</v>
      </c>
      <c r="C20">
        <f t="shared" si="1"/>
        <v>20000</v>
      </c>
      <c r="D20">
        <f t="shared" si="2"/>
        <v>4.2998169599999994</v>
      </c>
      <c r="E20">
        <f t="shared" si="3"/>
        <v>4651.3607872275579</v>
      </c>
      <c r="F20">
        <f>SUMPRODUCT(($A$20:$A$212&lt;=$B$4)*($E$20:$E$212))</f>
        <v>25315.409824889215</v>
      </c>
      <c r="G20">
        <f t="shared" si="4"/>
        <v>5063.0819649778432</v>
      </c>
      <c r="H20">
        <f t="shared" si="5"/>
        <v>10378.491789867057</v>
      </c>
    </row>
    <row r="21" spans="1:8" x14ac:dyDescent="0.35">
      <c r="A21">
        <v>9</v>
      </c>
      <c r="B21">
        <v>1</v>
      </c>
      <c r="C21">
        <f t="shared" si="1"/>
        <v>20000</v>
      </c>
      <c r="D21">
        <f t="shared" si="2"/>
        <v>5.1597803519999994</v>
      </c>
      <c r="E21">
        <f t="shared" si="3"/>
        <v>3876.1339893562977</v>
      </c>
      <c r="F21">
        <f>SUMPRODUCT(($A$21:$A$212&lt;=$B$4)*($E$21:$E$212))</f>
        <v>20664.049037661658</v>
      </c>
      <c r="G21">
        <f t="shared" si="4"/>
        <v>4132.8098075323314</v>
      </c>
      <c r="H21">
        <f t="shared" si="5"/>
        <v>4796.8588451939904</v>
      </c>
    </row>
    <row r="22" spans="1:8" x14ac:dyDescent="0.35">
      <c r="A22">
        <v>10</v>
      </c>
      <c r="B22">
        <v>1</v>
      </c>
      <c r="C22">
        <f t="shared" si="1"/>
        <v>20000</v>
      </c>
      <c r="D22">
        <f t="shared" si="2"/>
        <v>6.1917364223999991</v>
      </c>
      <c r="E22">
        <f t="shared" si="3"/>
        <v>3230.1116577969151</v>
      </c>
      <c r="F22">
        <f>SUMPRODUCT(($A$22:$A$212&lt;=$B$4)*($E$22:$E$212))</f>
        <v>16787.91504830536</v>
      </c>
      <c r="G22">
        <f t="shared" si="4"/>
        <v>3357.5830096610721</v>
      </c>
      <c r="H22">
        <f t="shared" si="5"/>
        <v>145.49805796643341</v>
      </c>
    </row>
    <row r="23" spans="1:8" x14ac:dyDescent="0.35">
      <c r="A23">
        <v>11</v>
      </c>
      <c r="B23">
        <v>1</v>
      </c>
      <c r="C23">
        <f t="shared" si="1"/>
        <v>20000</v>
      </c>
      <c r="D23">
        <f t="shared" si="2"/>
        <v>7.4300837068799988</v>
      </c>
      <c r="E23">
        <f t="shared" si="3"/>
        <v>2691.7597148307623</v>
      </c>
      <c r="F23">
        <f>SUMPRODUCT(($A$23:$A$212&lt;=$B$4)*($E$23:$E$212))</f>
        <v>13557.803390508447</v>
      </c>
      <c r="G23">
        <f t="shared" si="4"/>
        <v>2711.5606781016895</v>
      </c>
      <c r="H23">
        <f t="shared" si="5"/>
        <v>-3730.6359313898647</v>
      </c>
    </row>
    <row r="24" spans="1:8" x14ac:dyDescent="0.35">
      <c r="A24">
        <v>12</v>
      </c>
      <c r="B24">
        <v>1</v>
      </c>
      <c r="C24">
        <f t="shared" si="1"/>
        <v>20000</v>
      </c>
      <c r="D24">
        <f t="shared" si="2"/>
        <v>8.9161004482559978</v>
      </c>
      <c r="E24">
        <f t="shared" si="3"/>
        <v>2243.133095692302</v>
      </c>
      <c r="F24">
        <f>SUMPRODUCT(($A$24:$A$212&lt;=$B$4)*($E$24:$E$212))</f>
        <v>10866.043675677685</v>
      </c>
      <c r="G24">
        <f t="shared" si="4"/>
        <v>2173.2087351355372</v>
      </c>
      <c r="H24">
        <f t="shared" si="5"/>
        <v>-6960.747589186778</v>
      </c>
    </row>
    <row r="25" spans="1:8" x14ac:dyDescent="0.35">
      <c r="A25">
        <v>13</v>
      </c>
      <c r="B25">
        <v>1</v>
      </c>
      <c r="C25">
        <f t="shared" si="1"/>
        <v>20000</v>
      </c>
      <c r="D25">
        <f t="shared" si="2"/>
        <v>10.699320537907198</v>
      </c>
      <c r="E25">
        <f t="shared" si="3"/>
        <v>1869.277579743585</v>
      </c>
      <c r="F25">
        <f>SUMPRODUCT(($A$25:$A$212&lt;=$B$4)*($E$25:$E$212))</f>
        <v>8622.9105799853824</v>
      </c>
      <c r="G25">
        <f t="shared" si="4"/>
        <v>1724.5821159970765</v>
      </c>
      <c r="H25">
        <f t="shared" si="5"/>
        <v>-9652.5073040175412</v>
      </c>
    </row>
    <row r="26" spans="1:8" x14ac:dyDescent="0.35">
      <c r="A26">
        <v>14</v>
      </c>
      <c r="B26">
        <v>1</v>
      </c>
      <c r="C26">
        <f t="shared" si="1"/>
        <v>20000</v>
      </c>
      <c r="D26">
        <f t="shared" si="2"/>
        <v>12.839184645488636</v>
      </c>
      <c r="E26">
        <f t="shared" si="3"/>
        <v>1557.7313164529878</v>
      </c>
      <c r="F26">
        <f>SUMPRODUCT(($A$26:$A$212&lt;=$B$4)*($E$26:$E$212))</f>
        <v>6753.6330002417963</v>
      </c>
      <c r="G26">
        <f t="shared" si="4"/>
        <v>1350.7266000483594</v>
      </c>
      <c r="H26">
        <f t="shared" si="5"/>
        <v>-11895.640399709844</v>
      </c>
    </row>
    <row r="27" spans="1:8" x14ac:dyDescent="0.35">
      <c r="A27">
        <v>15</v>
      </c>
      <c r="B27">
        <f t="shared" si="0"/>
        <v>1</v>
      </c>
      <c r="C27">
        <f t="shared" si="1"/>
        <v>20000</v>
      </c>
      <c r="D27">
        <f t="shared" si="2"/>
        <v>15.407021574586365</v>
      </c>
      <c r="E27">
        <f t="shared" si="3"/>
        <v>1298.1094303774896</v>
      </c>
      <c r="F27">
        <f>SUMPRODUCT(($A$27:$A$212&lt;=$B$4)*($E$27:$E$212))</f>
        <v>5195.9016837888084</v>
      </c>
      <c r="G27">
        <f t="shared" si="4"/>
        <v>1039.1803367577618</v>
      </c>
      <c r="H27">
        <f t="shared" si="5"/>
        <v>-13764.91797945343</v>
      </c>
    </row>
    <row r="28" spans="1:8" x14ac:dyDescent="0.35">
      <c r="A28">
        <v>16</v>
      </c>
      <c r="B28">
        <f t="shared" si="0"/>
        <v>1</v>
      </c>
      <c r="C28">
        <f t="shared" si="1"/>
        <v>20000</v>
      </c>
      <c r="D28">
        <f t="shared" si="2"/>
        <v>18.488425889503635</v>
      </c>
      <c r="E28">
        <f t="shared" si="3"/>
        <v>1081.7578586479083</v>
      </c>
      <c r="F28">
        <f>SUMPRODUCT(($A$28:$A$212&lt;=$B$4)*($E$28:$E$212))</f>
        <v>3897.7922534113191</v>
      </c>
      <c r="G28">
        <f t="shared" si="4"/>
        <v>779.55845068226381</v>
      </c>
      <c r="H28">
        <f t="shared" si="5"/>
        <v>-15322.649295906416</v>
      </c>
    </row>
    <row r="29" spans="1:8" x14ac:dyDescent="0.35">
      <c r="A29">
        <v>17</v>
      </c>
      <c r="B29">
        <f t="shared" si="0"/>
        <v>1</v>
      </c>
      <c r="C29">
        <f t="shared" si="1"/>
        <v>20000</v>
      </c>
      <c r="D29">
        <f t="shared" si="2"/>
        <v>22.186111067404362</v>
      </c>
      <c r="E29">
        <f t="shared" si="3"/>
        <v>901.46488220659023</v>
      </c>
      <c r="F29">
        <f>SUMPRODUCT(($A$29:$A$212&lt;=$B$4)*($E$29:$E$212))</f>
        <v>2816.0343947634105</v>
      </c>
      <c r="G29">
        <f t="shared" si="4"/>
        <v>563.20687895268213</v>
      </c>
      <c r="H29">
        <f t="shared" si="5"/>
        <v>-16620.758726283908</v>
      </c>
    </row>
    <row r="30" spans="1:8" x14ac:dyDescent="0.35">
      <c r="A30">
        <v>18</v>
      </c>
      <c r="B30">
        <f t="shared" si="0"/>
        <v>1</v>
      </c>
      <c r="C30">
        <f t="shared" si="1"/>
        <v>20000</v>
      </c>
      <c r="D30">
        <f t="shared" si="2"/>
        <v>26.623333280885234</v>
      </c>
      <c r="E30">
        <f t="shared" si="3"/>
        <v>751.22073517215847</v>
      </c>
      <c r="F30">
        <f>SUMPRODUCT(($A$30:$A$212&lt;=$B$4)*($E$30:$E$212))</f>
        <v>1914.5695125568204</v>
      </c>
      <c r="G30">
        <f t="shared" si="4"/>
        <v>382.91390251136409</v>
      </c>
      <c r="H30">
        <f t="shared" si="5"/>
        <v>-17702.516584931815</v>
      </c>
    </row>
    <row r="31" spans="1:8" x14ac:dyDescent="0.35">
      <c r="A31">
        <v>19</v>
      </c>
      <c r="B31">
        <f t="shared" si="0"/>
        <v>1</v>
      </c>
      <c r="C31">
        <f t="shared" si="1"/>
        <v>20000</v>
      </c>
      <c r="D31">
        <f t="shared" si="2"/>
        <v>31.947999937062281</v>
      </c>
      <c r="E31">
        <f t="shared" si="3"/>
        <v>626.01727931013204</v>
      </c>
      <c r="F31">
        <f>SUMPRODUCT(($A$31:$A$212&lt;=$B$4)*($E$31:$E$212))</f>
        <v>1163.3487773846621</v>
      </c>
      <c r="G31">
        <f t="shared" si="4"/>
        <v>232.66975547693244</v>
      </c>
      <c r="H31">
        <f t="shared" si="5"/>
        <v>-18603.981467138405</v>
      </c>
    </row>
    <row r="32" spans="1:8" x14ac:dyDescent="0.35">
      <c r="A32">
        <v>20</v>
      </c>
      <c r="B32">
        <v>1.03</v>
      </c>
      <c r="C32">
        <f t="shared" si="1"/>
        <v>20600</v>
      </c>
      <c r="D32">
        <f t="shared" si="2"/>
        <v>38.337599924474738</v>
      </c>
      <c r="E32">
        <f t="shared" si="3"/>
        <v>537.33149807453003</v>
      </c>
      <c r="F32">
        <f>SUMPRODUCT(($A$32:$A$212&lt;=$B$4)*($E$32:$E$212))</f>
        <v>537.33149807453003</v>
      </c>
      <c r="G32">
        <f t="shared" si="4"/>
        <v>107.46629961490601</v>
      </c>
      <c r="H32">
        <f t="shared" si="5"/>
        <v>-19955.202202310564</v>
      </c>
    </row>
    <row r="33" spans="1:8" x14ac:dyDescent="0.35">
      <c r="A33">
        <v>21</v>
      </c>
      <c r="B33">
        <v>1.3</v>
      </c>
      <c r="C33">
        <f t="shared" si="1"/>
        <v>0</v>
      </c>
      <c r="D33">
        <f t="shared" si="2"/>
        <v>46.005119909369682</v>
      </c>
      <c r="E33">
        <f t="shared" si="3"/>
        <v>0</v>
      </c>
      <c r="F33">
        <f>SUMPRODUCT(($A$33:$A$212&lt;=$B$4)*($E$33:$E$212))</f>
        <v>0</v>
      </c>
      <c r="G33">
        <f t="shared" si="4"/>
        <v>0</v>
      </c>
      <c r="H33">
        <f t="shared" si="5"/>
        <v>0</v>
      </c>
    </row>
    <row r="34" spans="1:8" x14ac:dyDescent="0.35">
      <c r="A34">
        <v>22</v>
      </c>
      <c r="B34">
        <v>1.3</v>
      </c>
      <c r="C34">
        <f t="shared" si="1"/>
        <v>0</v>
      </c>
      <c r="D34">
        <f t="shared" si="2"/>
        <v>55.206143891243613</v>
      </c>
      <c r="E34">
        <f t="shared" si="3"/>
        <v>0</v>
      </c>
      <c r="F34">
        <f>SUMPRODUCT(($A$34:$A$212&lt;=$B$4)*($E$34:$E$212))</f>
        <v>0</v>
      </c>
      <c r="G34">
        <f t="shared" si="4"/>
        <v>0</v>
      </c>
      <c r="H34">
        <f t="shared" si="5"/>
        <v>0</v>
      </c>
    </row>
    <row r="35" spans="1:8" x14ac:dyDescent="0.35">
      <c r="A35">
        <v>23</v>
      </c>
      <c r="B35">
        <f t="shared" si="0"/>
        <v>0</v>
      </c>
      <c r="C35">
        <f t="shared" si="1"/>
        <v>0</v>
      </c>
      <c r="D35">
        <f t="shared" si="2"/>
        <v>66.247372669492336</v>
      </c>
      <c r="E35">
        <f t="shared" si="3"/>
        <v>0</v>
      </c>
      <c r="F35">
        <f>SUMPRODUCT(($A$35:$A$212&lt;=$B$4)*($E$35:$E$212))</f>
        <v>0</v>
      </c>
      <c r="G35">
        <f t="shared" si="4"/>
        <v>0</v>
      </c>
      <c r="H35">
        <f t="shared" si="5"/>
        <v>0</v>
      </c>
    </row>
    <row r="36" spans="1:8" x14ac:dyDescent="0.35">
      <c r="A36">
        <v>24</v>
      </c>
      <c r="B36">
        <f t="shared" si="0"/>
        <v>0</v>
      </c>
      <c r="C36">
        <f t="shared" si="1"/>
        <v>0</v>
      </c>
      <c r="D36">
        <f t="shared" si="2"/>
        <v>79.4968472033908</v>
      </c>
      <c r="E36">
        <f t="shared" si="3"/>
        <v>0</v>
      </c>
      <c r="F36">
        <f>SUMPRODUCT(($A$36:$A$212&lt;=$B$4)*($E$36:$E$212))</f>
        <v>0</v>
      </c>
      <c r="G36">
        <f t="shared" si="4"/>
        <v>0</v>
      </c>
      <c r="H36">
        <f t="shared" si="5"/>
        <v>0</v>
      </c>
    </row>
    <row r="37" spans="1:8" x14ac:dyDescent="0.35">
      <c r="A37">
        <v>25</v>
      </c>
      <c r="B37">
        <f t="shared" si="0"/>
        <v>0</v>
      </c>
      <c r="C37">
        <f t="shared" si="1"/>
        <v>0</v>
      </c>
      <c r="D37">
        <f t="shared" si="2"/>
        <v>95.396216644068971</v>
      </c>
      <c r="E37">
        <f t="shared" si="3"/>
        <v>0</v>
      </c>
      <c r="F37">
        <f>SUMPRODUCT(($A$37:$A$212&lt;=$B$4)*($E$37:$E$212))</f>
        <v>0</v>
      </c>
      <c r="G37">
        <f t="shared" si="4"/>
        <v>0</v>
      </c>
      <c r="H37">
        <f t="shared" si="5"/>
        <v>0</v>
      </c>
    </row>
    <row r="38" spans="1:8" x14ac:dyDescent="0.35">
      <c r="A38">
        <v>26</v>
      </c>
      <c r="B38">
        <f t="shared" si="0"/>
        <v>0</v>
      </c>
      <c r="C38">
        <f t="shared" si="1"/>
        <v>0</v>
      </c>
      <c r="D38">
        <f t="shared" si="2"/>
        <v>114.47545997288276</v>
      </c>
      <c r="E38">
        <f t="shared" si="3"/>
        <v>0</v>
      </c>
      <c r="F38">
        <f>SUMPRODUCT(($A$38:$A$212&lt;=$B$4)*($E$38:$E$212))</f>
        <v>0</v>
      </c>
      <c r="G38">
        <f t="shared" si="4"/>
        <v>0</v>
      </c>
      <c r="H38">
        <f t="shared" si="5"/>
        <v>0</v>
      </c>
    </row>
    <row r="39" spans="1:8" x14ac:dyDescent="0.35">
      <c r="A39">
        <v>27</v>
      </c>
      <c r="B39">
        <f t="shared" si="0"/>
        <v>0</v>
      </c>
      <c r="C39">
        <f t="shared" si="1"/>
        <v>0</v>
      </c>
      <c r="D39">
        <f t="shared" si="2"/>
        <v>137.37055196745931</v>
      </c>
      <c r="E39">
        <f t="shared" si="3"/>
        <v>0</v>
      </c>
      <c r="F39">
        <f>SUMPRODUCT(($A$39:$A$212&lt;=$B$4)*($E$39:$E$212))</f>
        <v>0</v>
      </c>
      <c r="G39">
        <f t="shared" si="4"/>
        <v>0</v>
      </c>
      <c r="H39">
        <f t="shared" si="5"/>
        <v>0</v>
      </c>
    </row>
    <row r="40" spans="1:8" x14ac:dyDescent="0.35">
      <c r="A40">
        <v>28</v>
      </c>
      <c r="B40">
        <f t="shared" si="0"/>
        <v>0</v>
      </c>
      <c r="C40">
        <f t="shared" si="1"/>
        <v>0</v>
      </c>
      <c r="D40">
        <f t="shared" si="2"/>
        <v>164.84466236095116</v>
      </c>
      <c r="E40">
        <f t="shared" si="3"/>
        <v>0</v>
      </c>
      <c r="F40">
        <f>SUMPRODUCT(($A$40:$A$212&lt;=$B$4)*($E$40:$E$212))</f>
        <v>0</v>
      </c>
      <c r="G40">
        <f t="shared" si="4"/>
        <v>0</v>
      </c>
      <c r="H40">
        <f t="shared" si="5"/>
        <v>0</v>
      </c>
    </row>
    <row r="41" spans="1:8" x14ac:dyDescent="0.35">
      <c r="A41">
        <v>29</v>
      </c>
      <c r="B41">
        <f t="shared" si="0"/>
        <v>0</v>
      </c>
      <c r="C41">
        <f t="shared" si="1"/>
        <v>0</v>
      </c>
      <c r="D41">
        <f t="shared" si="2"/>
        <v>197.81359483314139</v>
      </c>
      <c r="E41">
        <f t="shared" si="3"/>
        <v>0</v>
      </c>
      <c r="F41">
        <f>SUMPRODUCT(($A$41:$A$212&lt;=$B$4)*($E$41:$E$212))</f>
        <v>0</v>
      </c>
      <c r="G41">
        <f t="shared" si="4"/>
        <v>0</v>
      </c>
      <c r="H41">
        <f t="shared" si="5"/>
        <v>0</v>
      </c>
    </row>
    <row r="42" spans="1:8" x14ac:dyDescent="0.35">
      <c r="A42">
        <v>30</v>
      </c>
      <c r="B42">
        <f t="shared" si="0"/>
        <v>0</v>
      </c>
      <c r="C42">
        <f t="shared" si="1"/>
        <v>0</v>
      </c>
      <c r="D42">
        <f t="shared" si="2"/>
        <v>237.37631379976966</v>
      </c>
      <c r="E42">
        <f t="shared" si="3"/>
        <v>0</v>
      </c>
      <c r="F42">
        <f>SUMPRODUCT(($A$42:$A$212&lt;=$B$4)*($E$42:$E$212))</f>
        <v>0</v>
      </c>
      <c r="G42">
        <f t="shared" si="4"/>
        <v>0</v>
      </c>
      <c r="H42">
        <f t="shared" si="5"/>
        <v>0</v>
      </c>
    </row>
    <row r="43" spans="1:8" x14ac:dyDescent="0.35">
      <c r="A43">
        <v>31</v>
      </c>
      <c r="B43">
        <f t="shared" si="0"/>
        <v>0</v>
      </c>
      <c r="C43">
        <f t="shared" si="1"/>
        <v>0</v>
      </c>
      <c r="D43">
        <f t="shared" si="2"/>
        <v>284.85157655972358</v>
      </c>
      <c r="E43">
        <f t="shared" si="3"/>
        <v>0</v>
      </c>
      <c r="F43">
        <f>SUMPRODUCT(($A$43:$A$212&lt;=$B$4)*($E$43:$E$212))</f>
        <v>0</v>
      </c>
      <c r="G43">
        <f t="shared" si="4"/>
        <v>0</v>
      </c>
      <c r="H43">
        <f t="shared" si="5"/>
        <v>0</v>
      </c>
    </row>
    <row r="44" spans="1:8" x14ac:dyDescent="0.35">
      <c r="A44">
        <v>32</v>
      </c>
      <c r="B44">
        <f t="shared" si="0"/>
        <v>0</v>
      </c>
      <c r="C44">
        <f t="shared" si="1"/>
        <v>0</v>
      </c>
      <c r="D44">
        <f t="shared" si="2"/>
        <v>341.82189187166824</v>
      </c>
      <c r="E44">
        <f t="shared" si="3"/>
        <v>0</v>
      </c>
      <c r="F44">
        <f>SUMPRODUCT(($A$44:$A$212&lt;=$B$4)*($E$44:$E$212))</f>
        <v>0</v>
      </c>
      <c r="G44">
        <f t="shared" si="4"/>
        <v>0</v>
      </c>
      <c r="H44">
        <f t="shared" si="5"/>
        <v>0</v>
      </c>
    </row>
    <row r="45" spans="1:8" x14ac:dyDescent="0.35">
      <c r="A45">
        <v>33</v>
      </c>
      <c r="B45">
        <f t="shared" ref="B45:B76" si="6">IF(A45&lt;=$B$4,PRODUCT(1+IF($D$4:$D$50&lt;=A45,$F$4:$F$50,0)),0)</f>
        <v>0</v>
      </c>
      <c r="C45">
        <f t="shared" ref="C45:C76" si="7">IF(A45&lt;=$B$4,$B$3*B45,0)</f>
        <v>0</v>
      </c>
      <c r="D45">
        <f t="shared" ref="D45:D76" si="8">(1+$B$5)^A45</f>
        <v>410.18627024600187</v>
      </c>
      <c r="E45">
        <f t="shared" ref="E45:E76" si="9">IF(A45&lt;=$B$4,C45/D45,0)</f>
        <v>0</v>
      </c>
      <c r="F45">
        <f>SUMPRODUCT(($A$45:$A$212&lt;=$B$4)*($E$45:$E$212))</f>
        <v>0</v>
      </c>
      <c r="G45">
        <f t="shared" ref="G45:G76" si="10">F45*$B$5</f>
        <v>0</v>
      </c>
      <c r="H45">
        <f t="shared" ref="H45:H76" si="11">F45+G45-C45</f>
        <v>0</v>
      </c>
    </row>
    <row r="46" spans="1:8" x14ac:dyDescent="0.35">
      <c r="A46">
        <v>34</v>
      </c>
      <c r="B46">
        <f t="shared" si="6"/>
        <v>0</v>
      </c>
      <c r="C46">
        <f t="shared" si="7"/>
        <v>0</v>
      </c>
      <c r="D46">
        <f t="shared" si="8"/>
        <v>492.22352429520225</v>
      </c>
      <c r="E46">
        <f t="shared" si="9"/>
        <v>0</v>
      </c>
      <c r="F46">
        <f>SUMPRODUCT(($A$46:$A$212&lt;=$B$4)*($E$46:$E$212))</f>
        <v>0</v>
      </c>
      <c r="G46">
        <f t="shared" si="10"/>
        <v>0</v>
      </c>
      <c r="H46">
        <f t="shared" si="11"/>
        <v>0</v>
      </c>
    </row>
    <row r="47" spans="1:8" x14ac:dyDescent="0.35">
      <c r="A47">
        <v>35</v>
      </c>
      <c r="B47">
        <f t="shared" si="6"/>
        <v>0</v>
      </c>
      <c r="C47">
        <f t="shared" si="7"/>
        <v>0</v>
      </c>
      <c r="D47">
        <f t="shared" si="8"/>
        <v>590.66822915424268</v>
      </c>
      <c r="E47">
        <f t="shared" si="9"/>
        <v>0</v>
      </c>
      <c r="F47">
        <f>SUMPRODUCT(($A$47:$A$212&lt;=$B$4)*($E$47:$E$212))</f>
        <v>0</v>
      </c>
      <c r="G47">
        <f t="shared" si="10"/>
        <v>0</v>
      </c>
      <c r="H47">
        <f t="shared" si="11"/>
        <v>0</v>
      </c>
    </row>
    <row r="48" spans="1:8" x14ac:dyDescent="0.35">
      <c r="A48">
        <v>36</v>
      </c>
      <c r="B48">
        <f t="shared" si="6"/>
        <v>0</v>
      </c>
      <c r="C48">
        <f t="shared" si="7"/>
        <v>0</v>
      </c>
      <c r="D48">
        <f t="shared" si="8"/>
        <v>708.80187498509122</v>
      </c>
      <c r="E48">
        <f t="shared" si="9"/>
        <v>0</v>
      </c>
      <c r="F48">
        <f>SUMPRODUCT(($A$48:$A$212&lt;=$B$4)*($E$48:$E$212))</f>
        <v>0</v>
      </c>
      <c r="G48">
        <f t="shared" si="10"/>
        <v>0</v>
      </c>
      <c r="H48">
        <f t="shared" si="11"/>
        <v>0</v>
      </c>
    </row>
    <row r="49" spans="1:8" x14ac:dyDescent="0.35">
      <c r="A49">
        <v>37</v>
      </c>
      <c r="B49">
        <f t="shared" si="6"/>
        <v>0</v>
      </c>
      <c r="C49">
        <f t="shared" si="7"/>
        <v>0</v>
      </c>
      <c r="D49">
        <f t="shared" si="8"/>
        <v>850.56224998210951</v>
      </c>
      <c r="E49">
        <f t="shared" si="9"/>
        <v>0</v>
      </c>
      <c r="F49">
        <f>SUMPRODUCT(($A$49:$A$212&lt;=$B$4)*($E$49:$E$212))</f>
        <v>0</v>
      </c>
      <c r="G49">
        <f t="shared" si="10"/>
        <v>0</v>
      </c>
      <c r="H49">
        <f t="shared" si="11"/>
        <v>0</v>
      </c>
    </row>
    <row r="50" spans="1:8" x14ac:dyDescent="0.35">
      <c r="A50">
        <v>38</v>
      </c>
      <c r="B50">
        <f t="shared" si="6"/>
        <v>0</v>
      </c>
      <c r="C50">
        <f t="shared" si="7"/>
        <v>0</v>
      </c>
      <c r="D50">
        <f t="shared" si="8"/>
        <v>1020.6746999785313</v>
      </c>
      <c r="E50">
        <f t="shared" si="9"/>
        <v>0</v>
      </c>
      <c r="F50">
        <f>SUMPRODUCT(($A$50:$A$212&lt;=$B$4)*($E$50:$E$212))</f>
        <v>0</v>
      </c>
      <c r="G50">
        <f t="shared" si="10"/>
        <v>0</v>
      </c>
      <c r="H50">
        <f t="shared" si="11"/>
        <v>0</v>
      </c>
    </row>
    <row r="51" spans="1:8" x14ac:dyDescent="0.35">
      <c r="A51">
        <v>39</v>
      </c>
      <c r="B51">
        <f t="shared" si="6"/>
        <v>0</v>
      </c>
      <c r="C51">
        <f t="shared" si="7"/>
        <v>0</v>
      </c>
      <c r="D51">
        <f t="shared" si="8"/>
        <v>1224.8096399742376</v>
      </c>
      <c r="E51">
        <f t="shared" si="9"/>
        <v>0</v>
      </c>
      <c r="F51">
        <f>SUMPRODUCT(($A$51:$A$212&lt;=$B$4)*($E$51:$E$212))</f>
        <v>0</v>
      </c>
      <c r="G51">
        <f t="shared" si="10"/>
        <v>0</v>
      </c>
      <c r="H51">
        <f t="shared" si="11"/>
        <v>0</v>
      </c>
    </row>
    <row r="52" spans="1:8" x14ac:dyDescent="0.35">
      <c r="A52">
        <v>40</v>
      </c>
      <c r="B52">
        <f t="shared" si="6"/>
        <v>0</v>
      </c>
      <c r="C52">
        <f t="shared" si="7"/>
        <v>0</v>
      </c>
      <c r="D52">
        <f t="shared" si="8"/>
        <v>1469.771567969085</v>
      </c>
      <c r="E52">
        <f t="shared" si="9"/>
        <v>0</v>
      </c>
      <c r="F52">
        <f>SUMPRODUCT(($A$52:$A$212&lt;=$B$4)*($E$52:$E$212))</f>
        <v>0</v>
      </c>
      <c r="G52">
        <f t="shared" si="10"/>
        <v>0</v>
      </c>
      <c r="H52">
        <f t="shared" si="11"/>
        <v>0</v>
      </c>
    </row>
    <row r="53" spans="1:8" x14ac:dyDescent="0.35">
      <c r="A53">
        <v>41</v>
      </c>
      <c r="B53">
        <f t="shared" si="6"/>
        <v>0</v>
      </c>
      <c r="C53">
        <f t="shared" si="7"/>
        <v>0</v>
      </c>
      <c r="D53">
        <f t="shared" si="8"/>
        <v>1763.725881562902</v>
      </c>
      <c r="E53">
        <f t="shared" si="9"/>
        <v>0</v>
      </c>
      <c r="F53">
        <f>SUMPRODUCT(($A$53:$A$212&lt;=$B$4)*($E$53:$E$212))</f>
        <v>0</v>
      </c>
      <c r="G53">
        <f t="shared" si="10"/>
        <v>0</v>
      </c>
      <c r="H53">
        <f t="shared" si="11"/>
        <v>0</v>
      </c>
    </row>
    <row r="54" spans="1:8" x14ac:dyDescent="0.35">
      <c r="A54">
        <v>42</v>
      </c>
      <c r="B54">
        <f t="shared" si="6"/>
        <v>0</v>
      </c>
      <c r="C54">
        <f t="shared" si="7"/>
        <v>0</v>
      </c>
      <c r="D54">
        <f t="shared" si="8"/>
        <v>2116.4710578754825</v>
      </c>
      <c r="E54">
        <f t="shared" si="9"/>
        <v>0</v>
      </c>
      <c r="F54">
        <f>SUMPRODUCT(($A$54:$A$212&lt;=$B$4)*($E$54:$E$212))</f>
        <v>0</v>
      </c>
      <c r="G54">
        <f t="shared" si="10"/>
        <v>0</v>
      </c>
      <c r="H54">
        <f t="shared" si="11"/>
        <v>0</v>
      </c>
    </row>
    <row r="55" spans="1:8" x14ac:dyDescent="0.35">
      <c r="A55">
        <v>43</v>
      </c>
      <c r="B55">
        <f t="shared" si="6"/>
        <v>0</v>
      </c>
      <c r="C55">
        <f t="shared" si="7"/>
        <v>0</v>
      </c>
      <c r="D55">
        <f t="shared" si="8"/>
        <v>2539.7652694505787</v>
      </c>
      <c r="E55">
        <f t="shared" si="9"/>
        <v>0</v>
      </c>
      <c r="F55">
        <f>SUMPRODUCT(($A$55:$A$212&lt;=$B$4)*($E$55:$E$212))</f>
        <v>0</v>
      </c>
      <c r="G55">
        <f t="shared" si="10"/>
        <v>0</v>
      </c>
      <c r="H55">
        <f t="shared" si="11"/>
        <v>0</v>
      </c>
    </row>
    <row r="56" spans="1:8" x14ac:dyDescent="0.35">
      <c r="A56">
        <v>44</v>
      </c>
      <c r="B56">
        <f t="shared" si="6"/>
        <v>0</v>
      </c>
      <c r="C56">
        <f t="shared" si="7"/>
        <v>0</v>
      </c>
      <c r="D56">
        <f t="shared" si="8"/>
        <v>3047.7183233406945</v>
      </c>
      <c r="E56">
        <f t="shared" si="9"/>
        <v>0</v>
      </c>
      <c r="F56">
        <f>SUMPRODUCT(($A$56:$A$212&lt;=$B$4)*($E$56:$E$212))</f>
        <v>0</v>
      </c>
      <c r="G56">
        <f t="shared" si="10"/>
        <v>0</v>
      </c>
      <c r="H56">
        <f t="shared" si="11"/>
        <v>0</v>
      </c>
    </row>
    <row r="57" spans="1:8" x14ac:dyDescent="0.35">
      <c r="A57">
        <v>45</v>
      </c>
      <c r="B57">
        <f t="shared" si="6"/>
        <v>0</v>
      </c>
      <c r="C57">
        <f t="shared" si="7"/>
        <v>0</v>
      </c>
      <c r="D57">
        <f t="shared" si="8"/>
        <v>3657.2619880088337</v>
      </c>
      <c r="E57">
        <f t="shared" si="9"/>
        <v>0</v>
      </c>
      <c r="F57">
        <f>SUMPRODUCT(($A$57:$A$212&lt;=$B$4)*($E$57:$E$212))</f>
        <v>0</v>
      </c>
      <c r="G57">
        <f t="shared" si="10"/>
        <v>0</v>
      </c>
      <c r="H57">
        <f t="shared" si="11"/>
        <v>0</v>
      </c>
    </row>
    <row r="58" spans="1:8" x14ac:dyDescent="0.35">
      <c r="A58">
        <v>46</v>
      </c>
      <c r="B58">
        <f t="shared" si="6"/>
        <v>0</v>
      </c>
      <c r="C58">
        <f t="shared" si="7"/>
        <v>0</v>
      </c>
      <c r="D58">
        <f t="shared" si="8"/>
        <v>4388.7143856105995</v>
      </c>
      <c r="E58">
        <f t="shared" si="9"/>
        <v>0</v>
      </c>
      <c r="F58">
        <f>SUMPRODUCT(($A$58:$A$212&lt;=$B$4)*($E$58:$E$212))</f>
        <v>0</v>
      </c>
      <c r="G58">
        <f t="shared" si="10"/>
        <v>0</v>
      </c>
      <c r="H58">
        <f t="shared" si="11"/>
        <v>0</v>
      </c>
    </row>
    <row r="59" spans="1:8" x14ac:dyDescent="0.35">
      <c r="A59">
        <v>47</v>
      </c>
      <c r="B59">
        <f t="shared" si="6"/>
        <v>0</v>
      </c>
      <c r="C59">
        <f t="shared" si="7"/>
        <v>0</v>
      </c>
      <c r="D59">
        <f t="shared" si="8"/>
        <v>5266.4572627327198</v>
      </c>
      <c r="E59">
        <f t="shared" si="9"/>
        <v>0</v>
      </c>
      <c r="F59">
        <f>SUMPRODUCT(($A$59:$A$212&lt;=$B$4)*($E$59:$E$212))</f>
        <v>0</v>
      </c>
      <c r="G59">
        <f t="shared" si="10"/>
        <v>0</v>
      </c>
      <c r="H59">
        <f t="shared" si="11"/>
        <v>0</v>
      </c>
    </row>
    <row r="60" spans="1:8" x14ac:dyDescent="0.35">
      <c r="A60">
        <v>48</v>
      </c>
      <c r="B60">
        <f t="shared" si="6"/>
        <v>0</v>
      </c>
      <c r="C60">
        <f t="shared" si="7"/>
        <v>0</v>
      </c>
      <c r="D60">
        <f t="shared" si="8"/>
        <v>6319.7487152792628</v>
      </c>
      <c r="E60">
        <f t="shared" si="9"/>
        <v>0</v>
      </c>
      <c r="F60">
        <f>SUMPRODUCT(($A$60:$A$212&lt;=$B$4)*($E$60:$E$212))</f>
        <v>0</v>
      </c>
      <c r="G60">
        <f t="shared" si="10"/>
        <v>0</v>
      </c>
      <c r="H60">
        <f t="shared" si="11"/>
        <v>0</v>
      </c>
    </row>
    <row r="61" spans="1:8" x14ac:dyDescent="0.35">
      <c r="A61">
        <v>49</v>
      </c>
      <c r="B61">
        <f t="shared" si="6"/>
        <v>0</v>
      </c>
      <c r="C61">
        <f t="shared" si="7"/>
        <v>0</v>
      </c>
      <c r="D61">
        <f t="shared" si="8"/>
        <v>7583.6984583351159</v>
      </c>
      <c r="E61">
        <f t="shared" si="9"/>
        <v>0</v>
      </c>
      <c r="F61">
        <f>SUMPRODUCT(($A$61:$A$212&lt;=$B$4)*($E$61:$E$212))</f>
        <v>0</v>
      </c>
      <c r="G61">
        <f t="shared" si="10"/>
        <v>0</v>
      </c>
      <c r="H61">
        <f t="shared" si="11"/>
        <v>0</v>
      </c>
    </row>
    <row r="62" spans="1:8" x14ac:dyDescent="0.35">
      <c r="A62">
        <v>50</v>
      </c>
      <c r="B62">
        <f t="shared" si="6"/>
        <v>0</v>
      </c>
      <c r="C62">
        <f t="shared" si="7"/>
        <v>0</v>
      </c>
      <c r="D62">
        <f t="shared" si="8"/>
        <v>9100.4381500021391</v>
      </c>
      <c r="E62">
        <f t="shared" si="9"/>
        <v>0</v>
      </c>
      <c r="F62">
        <f>SUMPRODUCT(($A$62:$A$212&lt;=$B$4)*($E$62:$E$212))</f>
        <v>0</v>
      </c>
      <c r="G62">
        <f t="shared" si="10"/>
        <v>0</v>
      </c>
      <c r="H62">
        <f t="shared" si="11"/>
        <v>0</v>
      </c>
    </row>
    <row r="63" spans="1:8" x14ac:dyDescent="0.35">
      <c r="A63">
        <v>51</v>
      </c>
      <c r="B63">
        <f t="shared" si="6"/>
        <v>0</v>
      </c>
      <c r="C63">
        <f t="shared" si="7"/>
        <v>0</v>
      </c>
      <c r="D63">
        <f t="shared" si="8"/>
        <v>10920.525780002567</v>
      </c>
      <c r="E63">
        <f t="shared" si="9"/>
        <v>0</v>
      </c>
      <c r="F63">
        <f>SUMPRODUCT(($A$63:$A$212&lt;=$B$4)*($E$63:$E$212))</f>
        <v>0</v>
      </c>
      <c r="G63">
        <f t="shared" si="10"/>
        <v>0</v>
      </c>
      <c r="H63">
        <f t="shared" si="11"/>
        <v>0</v>
      </c>
    </row>
    <row r="64" spans="1:8" x14ac:dyDescent="0.35">
      <c r="A64">
        <v>52</v>
      </c>
      <c r="B64">
        <f t="shared" si="6"/>
        <v>0</v>
      </c>
      <c r="C64">
        <f t="shared" si="7"/>
        <v>0</v>
      </c>
      <c r="D64">
        <f t="shared" si="8"/>
        <v>13104.630936003081</v>
      </c>
      <c r="E64">
        <f t="shared" si="9"/>
        <v>0</v>
      </c>
      <c r="F64">
        <f>SUMPRODUCT(($A$64:$A$212&lt;=$B$4)*($E$64:$E$212))</f>
        <v>0</v>
      </c>
      <c r="G64">
        <f t="shared" si="10"/>
        <v>0</v>
      </c>
      <c r="H64">
        <f t="shared" si="11"/>
        <v>0</v>
      </c>
    </row>
    <row r="65" spans="1:8" x14ac:dyDescent="0.35">
      <c r="A65">
        <v>53</v>
      </c>
      <c r="B65">
        <f t="shared" si="6"/>
        <v>0</v>
      </c>
      <c r="C65">
        <f t="shared" si="7"/>
        <v>0</v>
      </c>
      <c r="D65">
        <f t="shared" si="8"/>
        <v>15725.557123203695</v>
      </c>
      <c r="E65">
        <f t="shared" si="9"/>
        <v>0</v>
      </c>
      <c r="F65">
        <f>SUMPRODUCT(($A$65:$A$212&lt;=$B$4)*($E$65:$E$212))</f>
        <v>0</v>
      </c>
      <c r="G65">
        <f t="shared" si="10"/>
        <v>0</v>
      </c>
      <c r="H65">
        <f t="shared" si="11"/>
        <v>0</v>
      </c>
    </row>
    <row r="66" spans="1:8" x14ac:dyDescent="0.35">
      <c r="A66">
        <v>54</v>
      </c>
      <c r="B66">
        <f t="shared" si="6"/>
        <v>0</v>
      </c>
      <c r="C66">
        <f t="shared" si="7"/>
        <v>0</v>
      </c>
      <c r="D66">
        <f t="shared" si="8"/>
        <v>18870.668547844434</v>
      </c>
      <c r="E66">
        <f t="shared" si="9"/>
        <v>0</v>
      </c>
      <c r="F66">
        <f>SUMPRODUCT(($A$66:$A$212&lt;=$B$4)*($E$66:$E$212))</f>
        <v>0</v>
      </c>
      <c r="G66">
        <f t="shared" si="10"/>
        <v>0</v>
      </c>
      <c r="H66">
        <f t="shared" si="11"/>
        <v>0</v>
      </c>
    </row>
    <row r="67" spans="1:8" x14ac:dyDescent="0.35">
      <c r="A67">
        <v>55</v>
      </c>
      <c r="B67">
        <f t="shared" si="6"/>
        <v>0</v>
      </c>
      <c r="C67">
        <f t="shared" si="7"/>
        <v>0</v>
      </c>
      <c r="D67">
        <f t="shared" si="8"/>
        <v>22644.802257413317</v>
      </c>
      <c r="E67">
        <f t="shared" si="9"/>
        <v>0</v>
      </c>
      <c r="F67">
        <f>SUMPRODUCT(($A$67:$A$212&lt;=$B$4)*($E$67:$E$212))</f>
        <v>0</v>
      </c>
      <c r="G67">
        <f t="shared" si="10"/>
        <v>0</v>
      </c>
      <c r="H67">
        <f t="shared" si="11"/>
        <v>0</v>
      </c>
    </row>
    <row r="68" spans="1:8" x14ac:dyDescent="0.35">
      <c r="A68">
        <v>56</v>
      </c>
      <c r="B68">
        <f t="shared" si="6"/>
        <v>0</v>
      </c>
      <c r="C68">
        <f t="shared" si="7"/>
        <v>0</v>
      </c>
      <c r="D68">
        <f t="shared" si="8"/>
        <v>27173.762708895982</v>
      </c>
      <c r="E68">
        <f t="shared" si="9"/>
        <v>0</v>
      </c>
      <c r="F68">
        <f>SUMPRODUCT(($A$68:$A$212&lt;=$B$4)*($E$68:$E$212))</f>
        <v>0</v>
      </c>
      <c r="G68">
        <f t="shared" si="10"/>
        <v>0</v>
      </c>
      <c r="H68">
        <f t="shared" si="11"/>
        <v>0</v>
      </c>
    </row>
    <row r="69" spans="1:8" x14ac:dyDescent="0.35">
      <c r="A69">
        <v>57</v>
      </c>
      <c r="B69">
        <f t="shared" si="6"/>
        <v>0</v>
      </c>
      <c r="C69">
        <f t="shared" si="7"/>
        <v>0</v>
      </c>
      <c r="D69">
        <f t="shared" si="8"/>
        <v>32608.515250675184</v>
      </c>
      <c r="E69">
        <f t="shared" si="9"/>
        <v>0</v>
      </c>
      <c r="F69">
        <f>SUMPRODUCT(($A$69:$A$212&lt;=$B$4)*($E$69:$E$212))</f>
        <v>0</v>
      </c>
      <c r="G69">
        <f t="shared" si="10"/>
        <v>0</v>
      </c>
      <c r="H69">
        <f t="shared" si="11"/>
        <v>0</v>
      </c>
    </row>
    <row r="70" spans="1:8" x14ac:dyDescent="0.35">
      <c r="A70">
        <v>58</v>
      </c>
      <c r="B70">
        <f t="shared" si="6"/>
        <v>0</v>
      </c>
      <c r="C70">
        <f t="shared" si="7"/>
        <v>0</v>
      </c>
      <c r="D70">
        <f t="shared" si="8"/>
        <v>39130.218300810215</v>
      </c>
      <c r="E70">
        <f t="shared" si="9"/>
        <v>0</v>
      </c>
      <c r="F70">
        <f>SUMPRODUCT(($A$70:$A$212&lt;=$B$4)*($E$70:$E$212))</f>
        <v>0</v>
      </c>
      <c r="G70">
        <f t="shared" si="10"/>
        <v>0</v>
      </c>
      <c r="H70">
        <f t="shared" si="11"/>
        <v>0</v>
      </c>
    </row>
    <row r="71" spans="1:8" x14ac:dyDescent="0.35">
      <c r="A71">
        <v>59</v>
      </c>
      <c r="B71">
        <f t="shared" si="6"/>
        <v>0</v>
      </c>
      <c r="C71">
        <f t="shared" si="7"/>
        <v>0</v>
      </c>
      <c r="D71">
        <f t="shared" si="8"/>
        <v>46956.261960972261</v>
      </c>
      <c r="E71">
        <f t="shared" si="9"/>
        <v>0</v>
      </c>
      <c r="F71">
        <f>SUMPRODUCT(($A$71:$A$212&lt;=$B$4)*($E$71:$E$212))</f>
        <v>0</v>
      </c>
      <c r="G71">
        <f t="shared" si="10"/>
        <v>0</v>
      </c>
      <c r="H71">
        <f t="shared" si="11"/>
        <v>0</v>
      </c>
    </row>
    <row r="72" spans="1:8" x14ac:dyDescent="0.35">
      <c r="A72">
        <v>60</v>
      </c>
      <c r="B72">
        <f t="shared" si="6"/>
        <v>0</v>
      </c>
      <c r="C72">
        <f t="shared" si="7"/>
        <v>0</v>
      </c>
      <c r="D72">
        <f t="shared" si="8"/>
        <v>56347.514353166705</v>
      </c>
      <c r="E72">
        <f t="shared" si="9"/>
        <v>0</v>
      </c>
      <c r="F72">
        <f>SUMPRODUCT(($A$72:$A$212&lt;=$B$4)*($E$72:$E$212))</f>
        <v>0</v>
      </c>
      <c r="G72">
        <f t="shared" si="10"/>
        <v>0</v>
      </c>
      <c r="H72">
        <f t="shared" si="11"/>
        <v>0</v>
      </c>
    </row>
    <row r="73" spans="1:8" x14ac:dyDescent="0.35">
      <c r="A73">
        <v>61</v>
      </c>
      <c r="B73">
        <f t="shared" si="6"/>
        <v>0</v>
      </c>
      <c r="C73">
        <f t="shared" si="7"/>
        <v>0</v>
      </c>
      <c r="D73">
        <f t="shared" si="8"/>
        <v>67617.017223800052</v>
      </c>
      <c r="E73">
        <f t="shared" si="9"/>
        <v>0</v>
      </c>
      <c r="F73">
        <f>SUMPRODUCT(($A$73:$A$212&lt;=$B$4)*($E$73:$E$212))</f>
        <v>0</v>
      </c>
      <c r="G73">
        <f t="shared" si="10"/>
        <v>0</v>
      </c>
      <c r="H73">
        <f t="shared" si="11"/>
        <v>0</v>
      </c>
    </row>
    <row r="74" spans="1:8" x14ac:dyDescent="0.35">
      <c r="A74">
        <v>62</v>
      </c>
      <c r="B74">
        <f t="shared" si="6"/>
        <v>0</v>
      </c>
      <c r="C74">
        <f t="shared" si="7"/>
        <v>0</v>
      </c>
      <c r="D74">
        <f t="shared" si="8"/>
        <v>81140.420668560051</v>
      </c>
      <c r="E74">
        <f t="shared" si="9"/>
        <v>0</v>
      </c>
      <c r="F74">
        <f>SUMPRODUCT(($A$74:$A$212&lt;=$B$4)*($E$74:$E$212))</f>
        <v>0</v>
      </c>
      <c r="G74">
        <f t="shared" si="10"/>
        <v>0</v>
      </c>
      <c r="H74">
        <f t="shared" si="11"/>
        <v>0</v>
      </c>
    </row>
    <row r="75" spans="1:8" x14ac:dyDescent="0.35">
      <c r="A75">
        <v>63</v>
      </c>
      <c r="B75">
        <f t="shared" si="6"/>
        <v>0</v>
      </c>
      <c r="C75">
        <f t="shared" si="7"/>
        <v>0</v>
      </c>
      <c r="D75">
        <f t="shared" si="8"/>
        <v>97368.504802272058</v>
      </c>
      <c r="E75">
        <f t="shared" si="9"/>
        <v>0</v>
      </c>
      <c r="F75">
        <f>SUMPRODUCT(($A$75:$A$212&lt;=$B$4)*($E$75:$E$212))</f>
        <v>0</v>
      </c>
      <c r="G75">
        <f t="shared" si="10"/>
        <v>0</v>
      </c>
      <c r="H75">
        <f t="shared" si="11"/>
        <v>0</v>
      </c>
    </row>
    <row r="76" spans="1:8" x14ac:dyDescent="0.35">
      <c r="A76">
        <v>64</v>
      </c>
      <c r="B76">
        <f t="shared" si="6"/>
        <v>0</v>
      </c>
      <c r="C76">
        <f t="shared" si="7"/>
        <v>0</v>
      </c>
      <c r="D76">
        <f t="shared" si="8"/>
        <v>116842.20576272646</v>
      </c>
      <c r="E76">
        <f t="shared" si="9"/>
        <v>0</v>
      </c>
      <c r="F76">
        <f>SUMPRODUCT(($A$76:$A$212&lt;=$B$4)*($E$76:$E$212))</f>
        <v>0</v>
      </c>
      <c r="G76">
        <f t="shared" si="10"/>
        <v>0</v>
      </c>
      <c r="H76">
        <f t="shared" si="11"/>
        <v>0</v>
      </c>
    </row>
    <row r="77" spans="1:8" x14ac:dyDescent="0.35">
      <c r="A77">
        <v>65</v>
      </c>
      <c r="B77">
        <f t="shared" ref="B77:B108" si="12">IF(A77&lt;=$B$4,PRODUCT(1+IF($D$4:$D$50&lt;=A77,$F$4:$F$50,0)),0)</f>
        <v>0</v>
      </c>
      <c r="C77">
        <f t="shared" ref="C77:C108" si="13">IF(A77&lt;=$B$4,$B$3*B77,0)</f>
        <v>0</v>
      </c>
      <c r="D77">
        <f t="shared" ref="D77:D108" si="14">(1+$B$5)^A77</f>
        <v>140210.64691527173</v>
      </c>
      <c r="E77">
        <f t="shared" ref="E77:E108" si="15">IF(A77&lt;=$B$4,C77/D77,0)</f>
        <v>0</v>
      </c>
      <c r="F77">
        <f>SUMPRODUCT(($A$77:$A$212&lt;=$B$4)*($E$77:$E$212))</f>
        <v>0</v>
      </c>
      <c r="G77">
        <f t="shared" ref="G77:G108" si="16">F77*$B$5</f>
        <v>0</v>
      </c>
      <c r="H77">
        <f t="shared" ref="H77:H108" si="17">F77+G77-C77</f>
        <v>0</v>
      </c>
    </row>
    <row r="78" spans="1:8" x14ac:dyDescent="0.35">
      <c r="A78">
        <v>66</v>
      </c>
      <c r="B78">
        <f t="shared" si="12"/>
        <v>0</v>
      </c>
      <c r="C78">
        <f t="shared" si="13"/>
        <v>0</v>
      </c>
      <c r="D78">
        <f t="shared" si="14"/>
        <v>168252.77629832609</v>
      </c>
      <c r="E78">
        <f t="shared" si="15"/>
        <v>0</v>
      </c>
      <c r="F78">
        <f>SUMPRODUCT(($A$78:$A$212&lt;=$B$4)*($E$78:$E$212))</f>
        <v>0</v>
      </c>
      <c r="G78">
        <f t="shared" si="16"/>
        <v>0</v>
      </c>
      <c r="H78">
        <f t="shared" si="17"/>
        <v>0</v>
      </c>
    </row>
    <row r="79" spans="1:8" x14ac:dyDescent="0.35">
      <c r="A79">
        <v>67</v>
      </c>
      <c r="B79">
        <f t="shared" si="12"/>
        <v>0</v>
      </c>
      <c r="C79">
        <f t="shared" si="13"/>
        <v>0</v>
      </c>
      <c r="D79">
        <f t="shared" si="14"/>
        <v>201903.33155799133</v>
      </c>
      <c r="E79">
        <f t="shared" si="15"/>
        <v>0</v>
      </c>
      <c r="F79">
        <f>SUMPRODUCT(($A$79:$A$212&lt;=$B$4)*($E$79:$E$212))</f>
        <v>0</v>
      </c>
      <c r="G79">
        <f t="shared" si="16"/>
        <v>0</v>
      </c>
      <c r="H79">
        <f t="shared" si="17"/>
        <v>0</v>
      </c>
    </row>
    <row r="80" spans="1:8" x14ac:dyDescent="0.35">
      <c r="A80">
        <v>68</v>
      </c>
      <c r="B80">
        <f t="shared" si="12"/>
        <v>0</v>
      </c>
      <c r="C80">
        <f t="shared" si="13"/>
        <v>0</v>
      </c>
      <c r="D80">
        <f t="shared" si="14"/>
        <v>242283.99786958957</v>
      </c>
      <c r="E80">
        <f t="shared" si="15"/>
        <v>0</v>
      </c>
      <c r="F80">
        <f>SUMPRODUCT(($A$80:$A$212&lt;=$B$4)*($E$80:$E$212))</f>
        <v>0</v>
      </c>
      <c r="G80">
        <f t="shared" si="16"/>
        <v>0</v>
      </c>
      <c r="H80">
        <f t="shared" si="17"/>
        <v>0</v>
      </c>
    </row>
    <row r="81" spans="1:8" x14ac:dyDescent="0.35">
      <c r="A81">
        <v>69</v>
      </c>
      <c r="B81">
        <f t="shared" si="12"/>
        <v>0</v>
      </c>
      <c r="C81">
        <f t="shared" si="13"/>
        <v>0</v>
      </c>
      <c r="D81">
        <f t="shared" si="14"/>
        <v>290740.79744350747</v>
      </c>
      <c r="E81">
        <f t="shared" si="15"/>
        <v>0</v>
      </c>
      <c r="F81">
        <f>SUMPRODUCT(($A$81:$A$212&lt;=$B$4)*($E$81:$E$212))</f>
        <v>0</v>
      </c>
      <c r="G81">
        <f t="shared" si="16"/>
        <v>0</v>
      </c>
      <c r="H81">
        <f t="shared" si="17"/>
        <v>0</v>
      </c>
    </row>
    <row r="82" spans="1:8" x14ac:dyDescent="0.35">
      <c r="A82">
        <v>70</v>
      </c>
      <c r="B82">
        <f t="shared" si="12"/>
        <v>0</v>
      </c>
      <c r="C82">
        <f t="shared" si="13"/>
        <v>0</v>
      </c>
      <c r="D82">
        <f t="shared" si="14"/>
        <v>348888.95693220897</v>
      </c>
      <c r="E82">
        <f t="shared" si="15"/>
        <v>0</v>
      </c>
      <c r="F82">
        <f>SUMPRODUCT(($A$82:$A$212&lt;=$B$4)*($E$82:$E$212))</f>
        <v>0</v>
      </c>
      <c r="G82">
        <f t="shared" si="16"/>
        <v>0</v>
      </c>
      <c r="H82">
        <f t="shared" si="17"/>
        <v>0</v>
      </c>
    </row>
    <row r="83" spans="1:8" x14ac:dyDescent="0.35">
      <c r="A83">
        <v>71</v>
      </c>
      <c r="B83">
        <f t="shared" si="12"/>
        <v>0</v>
      </c>
      <c r="C83">
        <f t="shared" si="13"/>
        <v>0</v>
      </c>
      <c r="D83">
        <f t="shared" si="14"/>
        <v>418666.74831865076</v>
      </c>
      <c r="E83">
        <f t="shared" si="15"/>
        <v>0</v>
      </c>
      <c r="F83">
        <f>SUMPRODUCT(($A$83:$A$212&lt;=$B$4)*($E$83:$E$212))</f>
        <v>0</v>
      </c>
      <c r="G83">
        <f t="shared" si="16"/>
        <v>0</v>
      </c>
      <c r="H83">
        <f t="shared" si="17"/>
        <v>0</v>
      </c>
    </row>
    <row r="84" spans="1:8" x14ac:dyDescent="0.35">
      <c r="A84">
        <v>72</v>
      </c>
      <c r="B84">
        <f t="shared" si="12"/>
        <v>0</v>
      </c>
      <c r="C84">
        <f t="shared" si="13"/>
        <v>0</v>
      </c>
      <c r="D84">
        <f t="shared" si="14"/>
        <v>502400.09798238089</v>
      </c>
      <c r="E84">
        <f t="shared" si="15"/>
        <v>0</v>
      </c>
      <c r="F84">
        <f>SUMPRODUCT(($A$84:$A$212&lt;=$B$4)*($E$84:$E$212))</f>
        <v>0</v>
      </c>
      <c r="G84">
        <f t="shared" si="16"/>
        <v>0</v>
      </c>
      <c r="H84">
        <f t="shared" si="17"/>
        <v>0</v>
      </c>
    </row>
    <row r="85" spans="1:8" x14ac:dyDescent="0.35">
      <c r="A85">
        <v>73</v>
      </c>
      <c r="B85">
        <f t="shared" si="12"/>
        <v>0</v>
      </c>
      <c r="C85">
        <f t="shared" si="13"/>
        <v>0</v>
      </c>
      <c r="D85">
        <f t="shared" si="14"/>
        <v>602880.11757885711</v>
      </c>
      <c r="E85">
        <f t="shared" si="15"/>
        <v>0</v>
      </c>
      <c r="F85">
        <f>SUMPRODUCT(($A$85:$A$212&lt;=$B$4)*($E$85:$E$212))</f>
        <v>0</v>
      </c>
      <c r="G85">
        <f t="shared" si="16"/>
        <v>0</v>
      </c>
      <c r="H85">
        <f t="shared" si="17"/>
        <v>0</v>
      </c>
    </row>
    <row r="86" spans="1:8" x14ac:dyDescent="0.35">
      <c r="A86">
        <v>74</v>
      </c>
      <c r="B86">
        <f t="shared" si="12"/>
        <v>0</v>
      </c>
      <c r="C86">
        <f t="shared" si="13"/>
        <v>0</v>
      </c>
      <c r="D86">
        <f t="shared" si="14"/>
        <v>723456.14109462849</v>
      </c>
      <c r="E86">
        <f t="shared" si="15"/>
        <v>0</v>
      </c>
      <c r="F86">
        <f>SUMPRODUCT(($A$86:$A$212&lt;=$B$4)*($E$86:$E$212))</f>
        <v>0</v>
      </c>
      <c r="G86">
        <f t="shared" si="16"/>
        <v>0</v>
      </c>
      <c r="H86">
        <f t="shared" si="17"/>
        <v>0</v>
      </c>
    </row>
    <row r="87" spans="1:8" x14ac:dyDescent="0.35">
      <c r="A87">
        <v>75</v>
      </c>
      <c r="B87">
        <f t="shared" si="12"/>
        <v>0</v>
      </c>
      <c r="C87">
        <f t="shared" si="13"/>
        <v>0</v>
      </c>
      <c r="D87">
        <f t="shared" si="14"/>
        <v>868147.36931355414</v>
      </c>
      <c r="E87">
        <f t="shared" si="15"/>
        <v>0</v>
      </c>
      <c r="F87">
        <f>SUMPRODUCT(($A$87:$A$212&lt;=$B$4)*($E$87:$E$212))</f>
        <v>0</v>
      </c>
      <c r="G87">
        <f t="shared" si="16"/>
        <v>0</v>
      </c>
      <c r="H87">
        <f t="shared" si="17"/>
        <v>0</v>
      </c>
    </row>
    <row r="88" spans="1:8" x14ac:dyDescent="0.35">
      <c r="A88">
        <v>76</v>
      </c>
      <c r="B88">
        <f t="shared" si="12"/>
        <v>0</v>
      </c>
      <c r="C88">
        <f t="shared" si="13"/>
        <v>0</v>
      </c>
      <c r="D88">
        <f t="shared" si="14"/>
        <v>1041776.8431762649</v>
      </c>
      <c r="E88">
        <f t="shared" si="15"/>
        <v>0</v>
      </c>
      <c r="F88">
        <f>SUMPRODUCT(($A$88:$A$212&lt;=$B$4)*($E$88:$E$212))</f>
        <v>0</v>
      </c>
      <c r="G88">
        <f t="shared" si="16"/>
        <v>0</v>
      </c>
      <c r="H88">
        <f t="shared" si="17"/>
        <v>0</v>
      </c>
    </row>
    <row r="89" spans="1:8" x14ac:dyDescent="0.35">
      <c r="A89">
        <v>77</v>
      </c>
      <c r="B89">
        <f t="shared" si="12"/>
        <v>0</v>
      </c>
      <c r="C89">
        <f t="shared" si="13"/>
        <v>0</v>
      </c>
      <c r="D89">
        <f t="shared" si="14"/>
        <v>1250132.2118115181</v>
      </c>
      <c r="E89">
        <f t="shared" si="15"/>
        <v>0</v>
      </c>
      <c r="F89">
        <f>SUMPRODUCT(($A$89:$A$212&lt;=$B$4)*($E$89:$E$212))</f>
        <v>0</v>
      </c>
      <c r="G89">
        <f t="shared" si="16"/>
        <v>0</v>
      </c>
      <c r="H89">
        <f t="shared" si="17"/>
        <v>0</v>
      </c>
    </row>
    <row r="90" spans="1:8" x14ac:dyDescent="0.35">
      <c r="A90">
        <v>78</v>
      </c>
      <c r="B90">
        <f t="shared" si="12"/>
        <v>0</v>
      </c>
      <c r="C90">
        <f t="shared" si="13"/>
        <v>0</v>
      </c>
      <c r="D90">
        <f t="shared" si="14"/>
        <v>1500158.6541738214</v>
      </c>
      <c r="E90">
        <f t="shared" si="15"/>
        <v>0</v>
      </c>
      <c r="F90">
        <f>SUMPRODUCT(($A$90:$A$212&lt;=$B$4)*($E$90:$E$212))</f>
        <v>0</v>
      </c>
      <c r="G90">
        <f t="shared" si="16"/>
        <v>0</v>
      </c>
      <c r="H90">
        <f t="shared" si="17"/>
        <v>0</v>
      </c>
    </row>
    <row r="91" spans="1:8" x14ac:dyDescent="0.35">
      <c r="A91">
        <v>79</v>
      </c>
      <c r="B91">
        <f t="shared" si="12"/>
        <v>0</v>
      </c>
      <c r="C91">
        <f t="shared" si="13"/>
        <v>0</v>
      </c>
      <c r="D91">
        <f t="shared" si="14"/>
        <v>1800190.3850085859</v>
      </c>
      <c r="E91">
        <f t="shared" si="15"/>
        <v>0</v>
      </c>
      <c r="F91">
        <f>SUMPRODUCT(($A$91:$A$212&lt;=$B$4)*($E$91:$E$212))</f>
        <v>0</v>
      </c>
      <c r="G91">
        <f t="shared" si="16"/>
        <v>0</v>
      </c>
      <c r="H91">
        <f t="shared" si="17"/>
        <v>0</v>
      </c>
    </row>
    <row r="92" spans="1:8" x14ac:dyDescent="0.35">
      <c r="A92">
        <v>80</v>
      </c>
      <c r="B92">
        <f t="shared" si="12"/>
        <v>0</v>
      </c>
      <c r="C92">
        <f t="shared" si="13"/>
        <v>0</v>
      </c>
      <c r="D92">
        <f t="shared" si="14"/>
        <v>2160228.4620103026</v>
      </c>
      <c r="E92">
        <f t="shared" si="15"/>
        <v>0</v>
      </c>
      <c r="F92">
        <f>SUMPRODUCT(($A$92:$A$212&lt;=$B$4)*($E$92:$E$212))</f>
        <v>0</v>
      </c>
      <c r="G92">
        <f t="shared" si="16"/>
        <v>0</v>
      </c>
      <c r="H92">
        <f t="shared" si="17"/>
        <v>0</v>
      </c>
    </row>
    <row r="93" spans="1:8" x14ac:dyDescent="0.35">
      <c r="A93">
        <v>81</v>
      </c>
      <c r="B93">
        <f t="shared" si="12"/>
        <v>0</v>
      </c>
      <c r="C93">
        <f t="shared" si="13"/>
        <v>0</v>
      </c>
      <c r="D93">
        <f t="shared" si="14"/>
        <v>2592274.1544123632</v>
      </c>
      <c r="E93">
        <f t="shared" si="15"/>
        <v>0</v>
      </c>
      <c r="F93">
        <f>SUMPRODUCT(($A$93:$A$212&lt;=$B$4)*($E$93:$E$212))</f>
        <v>0</v>
      </c>
      <c r="G93">
        <f t="shared" si="16"/>
        <v>0</v>
      </c>
      <c r="H93">
        <f t="shared" si="17"/>
        <v>0</v>
      </c>
    </row>
    <row r="94" spans="1:8" x14ac:dyDescent="0.35">
      <c r="A94">
        <v>82</v>
      </c>
      <c r="B94">
        <f t="shared" si="12"/>
        <v>0</v>
      </c>
      <c r="C94">
        <f t="shared" si="13"/>
        <v>0</v>
      </c>
      <c r="D94">
        <f t="shared" si="14"/>
        <v>3110728.9852948356</v>
      </c>
      <c r="E94">
        <f t="shared" si="15"/>
        <v>0</v>
      </c>
      <c r="F94">
        <f>SUMPRODUCT(($A$94:$A$212&lt;=$B$4)*($E$94:$E$212))</f>
        <v>0</v>
      </c>
      <c r="G94">
        <f t="shared" si="16"/>
        <v>0</v>
      </c>
      <c r="H94">
        <f t="shared" si="17"/>
        <v>0</v>
      </c>
    </row>
    <row r="95" spans="1:8" x14ac:dyDescent="0.35">
      <c r="A95">
        <v>83</v>
      </c>
      <c r="B95">
        <f t="shared" si="12"/>
        <v>0</v>
      </c>
      <c r="C95">
        <f t="shared" si="13"/>
        <v>0</v>
      </c>
      <c r="D95">
        <f t="shared" si="14"/>
        <v>3732874.782353803</v>
      </c>
      <c r="E95">
        <f t="shared" si="15"/>
        <v>0</v>
      </c>
      <c r="F95">
        <f>SUMPRODUCT(($A$95:$A$212&lt;=$B$4)*($E$95:$E$212))</f>
        <v>0</v>
      </c>
      <c r="G95">
        <f t="shared" si="16"/>
        <v>0</v>
      </c>
      <c r="H95">
        <f t="shared" si="17"/>
        <v>0</v>
      </c>
    </row>
    <row r="96" spans="1:8" x14ac:dyDescent="0.35">
      <c r="A96">
        <v>84</v>
      </c>
      <c r="B96">
        <f t="shared" si="12"/>
        <v>0</v>
      </c>
      <c r="C96">
        <f t="shared" si="13"/>
        <v>0</v>
      </c>
      <c r="D96">
        <f t="shared" si="14"/>
        <v>4479449.738824564</v>
      </c>
      <c r="E96">
        <f t="shared" si="15"/>
        <v>0</v>
      </c>
      <c r="F96">
        <f>SUMPRODUCT(($A$96:$A$212&lt;=$B$4)*($E$96:$E$212))</f>
        <v>0</v>
      </c>
      <c r="G96">
        <f t="shared" si="16"/>
        <v>0</v>
      </c>
      <c r="H96">
        <f t="shared" si="17"/>
        <v>0</v>
      </c>
    </row>
    <row r="97" spans="1:8" x14ac:dyDescent="0.35">
      <c r="A97">
        <v>85</v>
      </c>
      <c r="B97">
        <f t="shared" si="12"/>
        <v>0</v>
      </c>
      <c r="C97">
        <f t="shared" si="13"/>
        <v>0</v>
      </c>
      <c r="D97">
        <f t="shared" si="14"/>
        <v>5375339.6865894757</v>
      </c>
      <c r="E97">
        <f t="shared" si="15"/>
        <v>0</v>
      </c>
      <c r="F97">
        <f>SUMPRODUCT(($A$97:$A$212&lt;=$B$4)*($E$97:$E$212))</f>
        <v>0</v>
      </c>
      <c r="G97">
        <f t="shared" si="16"/>
        <v>0</v>
      </c>
      <c r="H97">
        <f t="shared" si="17"/>
        <v>0</v>
      </c>
    </row>
    <row r="98" spans="1:8" x14ac:dyDescent="0.35">
      <c r="A98">
        <v>86</v>
      </c>
      <c r="B98">
        <f t="shared" si="12"/>
        <v>0</v>
      </c>
      <c r="C98">
        <f t="shared" si="13"/>
        <v>0</v>
      </c>
      <c r="D98">
        <f t="shared" si="14"/>
        <v>6450407.6239073705</v>
      </c>
      <c r="E98">
        <f t="shared" si="15"/>
        <v>0</v>
      </c>
      <c r="F98">
        <f>SUMPRODUCT(($A$98:$A$212&lt;=$B$4)*($E$98:$E$212))</f>
        <v>0</v>
      </c>
      <c r="G98">
        <f t="shared" si="16"/>
        <v>0</v>
      </c>
      <c r="H98">
        <f t="shared" si="17"/>
        <v>0</v>
      </c>
    </row>
    <row r="99" spans="1:8" x14ac:dyDescent="0.35">
      <c r="A99">
        <v>87</v>
      </c>
      <c r="B99">
        <f t="shared" si="12"/>
        <v>0</v>
      </c>
      <c r="C99">
        <f t="shared" si="13"/>
        <v>0</v>
      </c>
      <c r="D99">
        <f t="shared" si="14"/>
        <v>7740489.1486888444</v>
      </c>
      <c r="E99">
        <f t="shared" si="15"/>
        <v>0</v>
      </c>
      <c r="F99">
        <f>SUMPRODUCT(($A$99:$A$212&lt;=$B$4)*($E$99:$E$212))</f>
        <v>0</v>
      </c>
      <c r="G99">
        <f t="shared" si="16"/>
        <v>0</v>
      </c>
      <c r="H99">
        <f t="shared" si="17"/>
        <v>0</v>
      </c>
    </row>
    <row r="100" spans="1:8" x14ac:dyDescent="0.35">
      <c r="A100">
        <v>88</v>
      </c>
      <c r="B100">
        <f t="shared" si="12"/>
        <v>0</v>
      </c>
      <c r="C100">
        <f t="shared" si="13"/>
        <v>0</v>
      </c>
      <c r="D100">
        <f t="shared" si="14"/>
        <v>9288586.9784266129</v>
      </c>
      <c r="E100">
        <f t="shared" si="15"/>
        <v>0</v>
      </c>
      <c r="F100">
        <f>SUMPRODUCT(($A$100:$A$212&lt;=$B$4)*($E$100:$E$212))</f>
        <v>0</v>
      </c>
      <c r="G100">
        <f t="shared" si="16"/>
        <v>0</v>
      </c>
      <c r="H100">
        <f t="shared" si="17"/>
        <v>0</v>
      </c>
    </row>
    <row r="101" spans="1:8" x14ac:dyDescent="0.35">
      <c r="A101">
        <v>89</v>
      </c>
      <c r="B101">
        <f t="shared" si="12"/>
        <v>0</v>
      </c>
      <c r="C101">
        <f t="shared" si="13"/>
        <v>0</v>
      </c>
      <c r="D101">
        <f t="shared" si="14"/>
        <v>11146304.374111937</v>
      </c>
      <c r="E101">
        <f t="shared" si="15"/>
        <v>0</v>
      </c>
      <c r="F101">
        <f>SUMPRODUCT(($A$101:$A$212&lt;=$B$4)*($E$101:$E$212))</f>
        <v>0</v>
      </c>
      <c r="G101">
        <f t="shared" si="16"/>
        <v>0</v>
      </c>
      <c r="H101">
        <f t="shared" si="17"/>
        <v>0</v>
      </c>
    </row>
    <row r="102" spans="1:8" x14ac:dyDescent="0.35">
      <c r="A102">
        <v>90</v>
      </c>
      <c r="B102">
        <f t="shared" si="12"/>
        <v>0</v>
      </c>
      <c r="C102">
        <f t="shared" si="13"/>
        <v>0</v>
      </c>
      <c r="D102">
        <f t="shared" si="14"/>
        <v>13375565.248934325</v>
      </c>
      <c r="E102">
        <f t="shared" si="15"/>
        <v>0</v>
      </c>
      <c r="F102">
        <f>SUMPRODUCT(($A$102:$A$212&lt;=$B$4)*($E$102:$E$212))</f>
        <v>0</v>
      </c>
      <c r="G102">
        <f t="shared" si="16"/>
        <v>0</v>
      </c>
      <c r="H102">
        <f t="shared" si="17"/>
        <v>0</v>
      </c>
    </row>
    <row r="103" spans="1:8" x14ac:dyDescent="0.35">
      <c r="A103">
        <v>91</v>
      </c>
      <c r="B103">
        <f t="shared" si="12"/>
        <v>0</v>
      </c>
      <c r="C103">
        <f t="shared" si="13"/>
        <v>0</v>
      </c>
      <c r="D103">
        <f t="shared" si="14"/>
        <v>16050678.298721189</v>
      </c>
      <c r="E103">
        <f t="shared" si="15"/>
        <v>0</v>
      </c>
      <c r="F103">
        <f>SUMPRODUCT(($A$103:$A$212&lt;=$B$4)*($E$103:$E$212))</f>
        <v>0</v>
      </c>
      <c r="G103">
        <f t="shared" si="16"/>
        <v>0</v>
      </c>
      <c r="H103">
        <f t="shared" si="17"/>
        <v>0</v>
      </c>
    </row>
    <row r="104" spans="1:8" x14ac:dyDescent="0.35">
      <c r="A104">
        <v>92</v>
      </c>
      <c r="B104">
        <f t="shared" si="12"/>
        <v>0</v>
      </c>
      <c r="C104">
        <f t="shared" si="13"/>
        <v>0</v>
      </c>
      <c r="D104">
        <f t="shared" si="14"/>
        <v>19260813.958465423</v>
      </c>
      <c r="E104">
        <f t="shared" si="15"/>
        <v>0</v>
      </c>
      <c r="F104">
        <f>SUMPRODUCT(($A$104:$A$212&lt;=$B$4)*($E$104:$E$212))</f>
        <v>0</v>
      </c>
      <c r="G104">
        <f t="shared" si="16"/>
        <v>0</v>
      </c>
      <c r="H104">
        <f t="shared" si="17"/>
        <v>0</v>
      </c>
    </row>
    <row r="105" spans="1:8" x14ac:dyDescent="0.35">
      <c r="A105">
        <v>93</v>
      </c>
      <c r="B105">
        <f t="shared" si="12"/>
        <v>0</v>
      </c>
      <c r="C105">
        <f t="shared" si="13"/>
        <v>0</v>
      </c>
      <c r="D105">
        <f t="shared" si="14"/>
        <v>23112976.750158511</v>
      </c>
      <c r="E105">
        <f t="shared" si="15"/>
        <v>0</v>
      </c>
      <c r="F105">
        <f>SUMPRODUCT(($A$105:$A$212&lt;=$B$4)*($E$105:$E$212))</f>
        <v>0</v>
      </c>
      <c r="G105">
        <f t="shared" si="16"/>
        <v>0</v>
      </c>
      <c r="H105">
        <f t="shared" si="17"/>
        <v>0</v>
      </c>
    </row>
    <row r="106" spans="1:8" x14ac:dyDescent="0.35">
      <c r="A106">
        <v>94</v>
      </c>
      <c r="B106">
        <f t="shared" si="12"/>
        <v>0</v>
      </c>
      <c r="C106">
        <f t="shared" si="13"/>
        <v>0</v>
      </c>
      <c r="D106">
        <f t="shared" si="14"/>
        <v>27735572.100190211</v>
      </c>
      <c r="E106">
        <f t="shared" si="15"/>
        <v>0</v>
      </c>
      <c r="F106">
        <f>SUMPRODUCT(($A$106:$A$212&lt;=$B$4)*($E$106:$E$212))</f>
        <v>0</v>
      </c>
      <c r="G106">
        <f t="shared" si="16"/>
        <v>0</v>
      </c>
      <c r="H106">
        <f t="shared" si="17"/>
        <v>0</v>
      </c>
    </row>
    <row r="107" spans="1:8" x14ac:dyDescent="0.35">
      <c r="A107">
        <v>95</v>
      </c>
      <c r="B107">
        <f t="shared" si="12"/>
        <v>0</v>
      </c>
      <c r="C107">
        <f t="shared" si="13"/>
        <v>0</v>
      </c>
      <c r="D107">
        <f t="shared" si="14"/>
        <v>33282686.520228252</v>
      </c>
      <c r="E107">
        <f t="shared" si="15"/>
        <v>0</v>
      </c>
      <c r="F107">
        <f>SUMPRODUCT(($A$107:$A$212&lt;=$B$4)*($E$107:$E$212))</f>
        <v>0</v>
      </c>
      <c r="G107">
        <f t="shared" si="16"/>
        <v>0</v>
      </c>
      <c r="H107">
        <f t="shared" si="17"/>
        <v>0</v>
      </c>
    </row>
    <row r="108" spans="1:8" x14ac:dyDescent="0.35">
      <c r="A108">
        <v>96</v>
      </c>
      <c r="B108">
        <f t="shared" si="12"/>
        <v>0</v>
      </c>
      <c r="C108">
        <f t="shared" si="13"/>
        <v>0</v>
      </c>
      <c r="D108">
        <f t="shared" si="14"/>
        <v>39939223.824273899</v>
      </c>
      <c r="E108">
        <f t="shared" si="15"/>
        <v>0</v>
      </c>
      <c r="F108">
        <f>SUMPRODUCT(($A$108:$A$212&lt;=$B$4)*($E$108:$E$212))</f>
        <v>0</v>
      </c>
      <c r="G108">
        <f t="shared" si="16"/>
        <v>0</v>
      </c>
      <c r="H108">
        <f t="shared" si="17"/>
        <v>0</v>
      </c>
    </row>
    <row r="109" spans="1:8" x14ac:dyDescent="0.35">
      <c r="A109">
        <v>97</v>
      </c>
      <c r="B109">
        <f t="shared" ref="B109:B140" si="18">IF(A109&lt;=$B$4,PRODUCT(1+IF($D$4:$D$50&lt;=A109,$F$4:$F$50,0)),0)</f>
        <v>0</v>
      </c>
      <c r="C109">
        <f t="shared" ref="C109:C140" si="19">IF(A109&lt;=$B$4,$B$3*B109,0)</f>
        <v>0</v>
      </c>
      <c r="D109">
        <f t="shared" ref="D109:D140" si="20">(1+$B$5)^A109</f>
        <v>47927068.589128673</v>
      </c>
      <c r="E109">
        <f t="shared" ref="E109:E140" si="21">IF(A109&lt;=$B$4,C109/D109,0)</f>
        <v>0</v>
      </c>
      <c r="F109">
        <f>SUMPRODUCT(($A$109:$A$212&lt;=$B$4)*($E$109:$E$212))</f>
        <v>0</v>
      </c>
      <c r="G109">
        <f t="shared" ref="G109:G140" si="22">F109*$B$5</f>
        <v>0</v>
      </c>
      <c r="H109">
        <f t="shared" ref="H109:H140" si="23">F109+G109-C109</f>
        <v>0</v>
      </c>
    </row>
    <row r="110" spans="1:8" x14ac:dyDescent="0.35">
      <c r="A110">
        <v>98</v>
      </c>
      <c r="B110">
        <f t="shared" si="18"/>
        <v>0</v>
      </c>
      <c r="C110">
        <f t="shared" si="19"/>
        <v>0</v>
      </c>
      <c r="D110">
        <f t="shared" si="20"/>
        <v>57512482.306954406</v>
      </c>
      <c r="E110">
        <f t="shared" si="21"/>
        <v>0</v>
      </c>
      <c r="F110">
        <f>SUMPRODUCT(($A$110:$A$212&lt;=$B$4)*($E$110:$E$212))</f>
        <v>0</v>
      </c>
      <c r="G110">
        <f t="shared" si="22"/>
        <v>0</v>
      </c>
      <c r="H110">
        <f t="shared" si="23"/>
        <v>0</v>
      </c>
    </row>
    <row r="111" spans="1:8" x14ac:dyDescent="0.35">
      <c r="A111">
        <v>99</v>
      </c>
      <c r="B111">
        <f t="shared" si="18"/>
        <v>0</v>
      </c>
      <c r="C111">
        <f t="shared" si="19"/>
        <v>0</v>
      </c>
      <c r="D111">
        <f t="shared" si="20"/>
        <v>69014978.768345281</v>
      </c>
      <c r="E111">
        <f t="shared" si="21"/>
        <v>0</v>
      </c>
      <c r="F111">
        <f>SUMPRODUCT(($A$111:$A$212&lt;=$B$4)*($E$111:$E$212))</f>
        <v>0</v>
      </c>
      <c r="G111">
        <f t="shared" si="22"/>
        <v>0</v>
      </c>
      <c r="H111">
        <f t="shared" si="23"/>
        <v>0</v>
      </c>
    </row>
    <row r="112" spans="1:8" x14ac:dyDescent="0.35">
      <c r="A112">
        <v>100</v>
      </c>
      <c r="B112">
        <f t="shared" si="18"/>
        <v>0</v>
      </c>
      <c r="C112">
        <f t="shared" si="19"/>
        <v>0</v>
      </c>
      <c r="D112">
        <f t="shared" si="20"/>
        <v>82817974.52201435</v>
      </c>
      <c r="E112">
        <f t="shared" si="21"/>
        <v>0</v>
      </c>
      <c r="F112">
        <f>SUMPRODUCT(($A$112:$A$212&lt;=$B$4)*($E$112:$E$212))</f>
        <v>0</v>
      </c>
      <c r="G112">
        <f t="shared" si="22"/>
        <v>0</v>
      </c>
      <c r="H112">
        <f t="shared" si="23"/>
        <v>0</v>
      </c>
    </row>
    <row r="113" spans="1:8" x14ac:dyDescent="0.35">
      <c r="A113">
        <v>101</v>
      </c>
      <c r="B113">
        <f t="shared" si="18"/>
        <v>0</v>
      </c>
      <c r="C113">
        <f t="shared" si="19"/>
        <v>0</v>
      </c>
      <c r="D113">
        <f t="shared" si="20"/>
        <v>99381569.426417217</v>
      </c>
      <c r="E113">
        <f t="shared" si="21"/>
        <v>0</v>
      </c>
      <c r="F113">
        <f>SUMPRODUCT(($A$113:$A$212&lt;=$B$4)*($E$113:$E$212))</f>
        <v>0</v>
      </c>
      <c r="G113">
        <f t="shared" si="22"/>
        <v>0</v>
      </c>
      <c r="H113">
        <f t="shared" si="23"/>
        <v>0</v>
      </c>
    </row>
    <row r="114" spans="1:8" x14ac:dyDescent="0.35">
      <c r="A114">
        <v>102</v>
      </c>
      <c r="B114">
        <f t="shared" si="18"/>
        <v>0</v>
      </c>
      <c r="C114">
        <f t="shared" si="19"/>
        <v>0</v>
      </c>
      <c r="D114">
        <f t="shared" si="20"/>
        <v>119257883.31170064</v>
      </c>
      <c r="E114">
        <f t="shared" si="21"/>
        <v>0</v>
      </c>
      <c r="F114">
        <f>SUMPRODUCT(($A$114:$A$212&lt;=$B$4)*($E$114:$E$212))</f>
        <v>0</v>
      </c>
      <c r="G114">
        <f t="shared" si="22"/>
        <v>0</v>
      </c>
      <c r="H114">
        <f t="shared" si="23"/>
        <v>0</v>
      </c>
    </row>
    <row r="115" spans="1:8" x14ac:dyDescent="0.35">
      <c r="A115">
        <v>103</v>
      </c>
      <c r="B115">
        <f t="shared" si="18"/>
        <v>0</v>
      </c>
      <c r="C115">
        <f t="shared" si="19"/>
        <v>0</v>
      </c>
      <c r="D115">
        <f t="shared" si="20"/>
        <v>143109459.97404078</v>
      </c>
      <c r="E115">
        <f t="shared" si="21"/>
        <v>0</v>
      </c>
      <c r="F115">
        <f>SUMPRODUCT(($A$115:$A$212&lt;=$B$4)*($E$115:$E$212))</f>
        <v>0</v>
      </c>
      <c r="G115">
        <f t="shared" si="22"/>
        <v>0</v>
      </c>
      <c r="H115">
        <f t="shared" si="23"/>
        <v>0</v>
      </c>
    </row>
    <row r="116" spans="1:8" x14ac:dyDescent="0.35">
      <c r="A116">
        <v>104</v>
      </c>
      <c r="B116">
        <f t="shared" si="18"/>
        <v>0</v>
      </c>
      <c r="C116">
        <f t="shared" si="19"/>
        <v>0</v>
      </c>
      <c r="D116">
        <f t="shared" si="20"/>
        <v>171731351.96884894</v>
      </c>
      <c r="E116">
        <f t="shared" si="21"/>
        <v>0</v>
      </c>
      <c r="F116">
        <f>SUMPRODUCT(($A$116:$A$212&lt;=$B$4)*($E$116:$E$212))</f>
        <v>0</v>
      </c>
      <c r="G116">
        <f t="shared" si="22"/>
        <v>0</v>
      </c>
      <c r="H116">
        <f t="shared" si="23"/>
        <v>0</v>
      </c>
    </row>
    <row r="117" spans="1:8" x14ac:dyDescent="0.35">
      <c r="A117">
        <v>105</v>
      </c>
      <c r="B117">
        <f t="shared" si="18"/>
        <v>0</v>
      </c>
      <c r="C117">
        <f t="shared" si="19"/>
        <v>0</v>
      </c>
      <c r="D117">
        <f t="shared" si="20"/>
        <v>206077622.36261871</v>
      </c>
      <c r="E117">
        <f t="shared" si="21"/>
        <v>0</v>
      </c>
      <c r="F117">
        <f>SUMPRODUCT(($A$117:$A$212&lt;=$B$4)*($E$117:$E$212))</f>
        <v>0</v>
      </c>
      <c r="G117">
        <f t="shared" si="22"/>
        <v>0</v>
      </c>
      <c r="H117">
        <f t="shared" si="23"/>
        <v>0</v>
      </c>
    </row>
    <row r="118" spans="1:8" x14ac:dyDescent="0.35">
      <c r="A118">
        <v>106</v>
      </c>
      <c r="B118">
        <f t="shared" si="18"/>
        <v>0</v>
      </c>
      <c r="C118">
        <f t="shared" si="19"/>
        <v>0</v>
      </c>
      <c r="D118">
        <f t="shared" si="20"/>
        <v>247293146.83514246</v>
      </c>
      <c r="E118">
        <f t="shared" si="21"/>
        <v>0</v>
      </c>
      <c r="F118">
        <f>SUMPRODUCT(($A$118:$A$212&lt;=$B$4)*($E$118:$E$212))</f>
        <v>0</v>
      </c>
      <c r="G118">
        <f t="shared" si="22"/>
        <v>0</v>
      </c>
      <c r="H118">
        <f t="shared" si="23"/>
        <v>0</v>
      </c>
    </row>
    <row r="119" spans="1:8" x14ac:dyDescent="0.35">
      <c r="A119">
        <v>107</v>
      </c>
      <c r="B119">
        <f t="shared" si="18"/>
        <v>0</v>
      </c>
      <c r="C119">
        <f t="shared" si="19"/>
        <v>0</v>
      </c>
      <c r="D119">
        <f t="shared" si="20"/>
        <v>296751776.20217091</v>
      </c>
      <c r="E119">
        <f t="shared" si="21"/>
        <v>0</v>
      </c>
      <c r="F119">
        <f>SUMPRODUCT(($A$119:$A$212&lt;=$B$4)*($E$119:$E$212))</f>
        <v>0</v>
      </c>
      <c r="G119">
        <f t="shared" si="22"/>
        <v>0</v>
      </c>
      <c r="H119">
        <f t="shared" si="23"/>
        <v>0</v>
      </c>
    </row>
    <row r="120" spans="1:8" x14ac:dyDescent="0.35">
      <c r="A120">
        <v>108</v>
      </c>
      <c r="B120">
        <f t="shared" si="18"/>
        <v>0</v>
      </c>
      <c r="C120">
        <f t="shared" si="19"/>
        <v>0</v>
      </c>
      <c r="D120">
        <f t="shared" si="20"/>
        <v>356102131.44260514</v>
      </c>
      <c r="E120">
        <f t="shared" si="21"/>
        <v>0</v>
      </c>
      <c r="F120">
        <f>SUMPRODUCT(($A$120:$A$212&lt;=$B$4)*($E$120:$E$212))</f>
        <v>0</v>
      </c>
      <c r="G120">
        <f t="shared" si="22"/>
        <v>0</v>
      </c>
      <c r="H120">
        <f t="shared" si="23"/>
        <v>0</v>
      </c>
    </row>
    <row r="121" spans="1:8" x14ac:dyDescent="0.35">
      <c r="A121">
        <v>109</v>
      </c>
      <c r="B121">
        <f t="shared" si="18"/>
        <v>0</v>
      </c>
      <c r="C121">
        <f t="shared" si="19"/>
        <v>0</v>
      </c>
      <c r="D121">
        <f t="shared" si="20"/>
        <v>427322557.73112619</v>
      </c>
      <c r="E121">
        <f t="shared" si="21"/>
        <v>0</v>
      </c>
      <c r="F121">
        <f>SUMPRODUCT(($A$121:$A$212&lt;=$B$4)*($E$121:$E$212))</f>
        <v>0</v>
      </c>
      <c r="G121">
        <f t="shared" si="22"/>
        <v>0</v>
      </c>
      <c r="H121">
        <f t="shared" si="23"/>
        <v>0</v>
      </c>
    </row>
    <row r="122" spans="1:8" x14ac:dyDescent="0.35">
      <c r="A122">
        <v>110</v>
      </c>
      <c r="B122">
        <f t="shared" si="18"/>
        <v>0</v>
      </c>
      <c r="C122">
        <f t="shared" si="19"/>
        <v>0</v>
      </c>
      <c r="D122">
        <f t="shared" si="20"/>
        <v>512787069.27735132</v>
      </c>
      <c r="E122">
        <f t="shared" si="21"/>
        <v>0</v>
      </c>
      <c r="F122">
        <f>SUMPRODUCT(($A$122:$A$212&lt;=$B$4)*($E$122:$E$212))</f>
        <v>0</v>
      </c>
      <c r="G122">
        <f t="shared" si="22"/>
        <v>0</v>
      </c>
      <c r="H122">
        <f t="shared" si="23"/>
        <v>0</v>
      </c>
    </row>
    <row r="123" spans="1:8" x14ac:dyDescent="0.35">
      <c r="A123">
        <v>111</v>
      </c>
      <c r="B123">
        <f t="shared" si="18"/>
        <v>0</v>
      </c>
      <c r="C123">
        <f t="shared" si="19"/>
        <v>0</v>
      </c>
      <c r="D123">
        <f t="shared" si="20"/>
        <v>615344483.13282156</v>
      </c>
      <c r="E123">
        <f t="shared" si="21"/>
        <v>0</v>
      </c>
      <c r="F123">
        <f>SUMPRODUCT(($A$123:$A$212&lt;=$B$4)*($E$123:$E$212))</f>
        <v>0</v>
      </c>
      <c r="G123">
        <f t="shared" si="22"/>
        <v>0</v>
      </c>
      <c r="H123">
        <f t="shared" si="23"/>
        <v>0</v>
      </c>
    </row>
    <row r="124" spans="1:8" x14ac:dyDescent="0.35">
      <c r="A124">
        <v>112</v>
      </c>
      <c r="B124">
        <f t="shared" si="18"/>
        <v>0</v>
      </c>
      <c r="C124">
        <f t="shared" si="19"/>
        <v>0</v>
      </c>
      <c r="D124">
        <f t="shared" si="20"/>
        <v>738413379.75938582</v>
      </c>
      <c r="E124">
        <f t="shared" si="21"/>
        <v>0</v>
      </c>
      <c r="F124">
        <f>SUMPRODUCT(($A$124:$A$212&lt;=$B$4)*($E$124:$E$212))</f>
        <v>0</v>
      </c>
      <c r="G124">
        <f t="shared" si="22"/>
        <v>0</v>
      </c>
      <c r="H124">
        <f t="shared" si="23"/>
        <v>0</v>
      </c>
    </row>
    <row r="125" spans="1:8" x14ac:dyDescent="0.35">
      <c r="A125">
        <v>113</v>
      </c>
      <c r="B125">
        <f t="shared" si="18"/>
        <v>0</v>
      </c>
      <c r="C125">
        <f t="shared" si="19"/>
        <v>0</v>
      </c>
      <c r="D125">
        <f t="shared" si="20"/>
        <v>886096055.71126306</v>
      </c>
      <c r="E125">
        <f t="shared" si="21"/>
        <v>0</v>
      </c>
      <c r="F125">
        <f>SUMPRODUCT(($A$125:$A$212&lt;=$B$4)*($E$125:$E$212))</f>
        <v>0</v>
      </c>
      <c r="G125">
        <f t="shared" si="22"/>
        <v>0</v>
      </c>
      <c r="H125">
        <f t="shared" si="23"/>
        <v>0</v>
      </c>
    </row>
    <row r="126" spans="1:8" x14ac:dyDescent="0.35">
      <c r="A126">
        <v>114</v>
      </c>
      <c r="B126">
        <f t="shared" si="18"/>
        <v>0</v>
      </c>
      <c r="C126">
        <f t="shared" si="19"/>
        <v>0</v>
      </c>
      <c r="D126">
        <f t="shared" si="20"/>
        <v>1063315266.8535156</v>
      </c>
      <c r="E126">
        <f t="shared" si="21"/>
        <v>0</v>
      </c>
      <c r="F126">
        <f>SUMPRODUCT(($A$126:$A$212&lt;=$B$4)*($E$126:$E$212))</f>
        <v>0</v>
      </c>
      <c r="G126">
        <f t="shared" si="22"/>
        <v>0</v>
      </c>
      <c r="H126">
        <f t="shared" si="23"/>
        <v>0</v>
      </c>
    </row>
    <row r="127" spans="1:8" x14ac:dyDescent="0.35">
      <c r="A127">
        <v>115</v>
      </c>
      <c r="B127">
        <f t="shared" si="18"/>
        <v>0</v>
      </c>
      <c r="C127">
        <f t="shared" si="19"/>
        <v>0</v>
      </c>
      <c r="D127">
        <f t="shared" si="20"/>
        <v>1275978320.2242188</v>
      </c>
      <c r="E127">
        <f t="shared" si="21"/>
        <v>0</v>
      </c>
      <c r="F127">
        <f>SUMPRODUCT(($A$127:$A$212&lt;=$B$4)*($E$127:$E$212))</f>
        <v>0</v>
      </c>
      <c r="G127">
        <f t="shared" si="22"/>
        <v>0</v>
      </c>
      <c r="H127">
        <f t="shared" si="23"/>
        <v>0</v>
      </c>
    </row>
    <row r="128" spans="1:8" x14ac:dyDescent="0.35">
      <c r="A128">
        <v>116</v>
      </c>
      <c r="B128">
        <f t="shared" si="18"/>
        <v>0</v>
      </c>
      <c r="C128">
        <f t="shared" si="19"/>
        <v>0</v>
      </c>
      <c r="D128">
        <f t="shared" si="20"/>
        <v>1531173984.2690625</v>
      </c>
      <c r="E128">
        <f t="shared" si="21"/>
        <v>0</v>
      </c>
      <c r="F128">
        <f>SUMPRODUCT(($A$128:$A$212&lt;=$B$4)*($E$128:$E$212))</f>
        <v>0</v>
      </c>
      <c r="G128">
        <f t="shared" si="22"/>
        <v>0</v>
      </c>
      <c r="H128">
        <f t="shared" si="23"/>
        <v>0</v>
      </c>
    </row>
    <row r="129" spans="1:8" x14ac:dyDescent="0.35">
      <c r="A129">
        <v>117</v>
      </c>
      <c r="B129">
        <f t="shared" si="18"/>
        <v>0</v>
      </c>
      <c r="C129">
        <f t="shared" si="19"/>
        <v>0</v>
      </c>
      <c r="D129">
        <f t="shared" si="20"/>
        <v>1837408781.1228747</v>
      </c>
      <c r="E129">
        <f t="shared" si="21"/>
        <v>0</v>
      </c>
      <c r="F129">
        <f>SUMPRODUCT(($A$129:$A$212&lt;=$B$4)*($E$129:$E$212))</f>
        <v>0</v>
      </c>
      <c r="G129">
        <f t="shared" si="22"/>
        <v>0</v>
      </c>
      <c r="H129">
        <f t="shared" si="23"/>
        <v>0</v>
      </c>
    </row>
    <row r="130" spans="1:8" x14ac:dyDescent="0.35">
      <c r="A130">
        <v>118</v>
      </c>
      <c r="B130">
        <f t="shared" si="18"/>
        <v>0</v>
      </c>
      <c r="C130">
        <f t="shared" si="19"/>
        <v>0</v>
      </c>
      <c r="D130">
        <f t="shared" si="20"/>
        <v>2204890537.3474498</v>
      </c>
      <c r="E130">
        <f t="shared" si="21"/>
        <v>0</v>
      </c>
      <c r="F130">
        <f>SUMPRODUCT(($A$130:$A$212&lt;=$B$4)*($E$130:$E$212))</f>
        <v>0</v>
      </c>
      <c r="G130">
        <f t="shared" si="22"/>
        <v>0</v>
      </c>
      <c r="H130">
        <f t="shared" si="23"/>
        <v>0</v>
      </c>
    </row>
    <row r="131" spans="1:8" x14ac:dyDescent="0.35">
      <c r="A131">
        <v>119</v>
      </c>
      <c r="B131">
        <f t="shared" si="18"/>
        <v>0</v>
      </c>
      <c r="C131">
        <f t="shared" si="19"/>
        <v>0</v>
      </c>
      <c r="D131">
        <f t="shared" si="20"/>
        <v>2645868644.8169394</v>
      </c>
      <c r="E131">
        <f t="shared" si="21"/>
        <v>0</v>
      </c>
      <c r="F131">
        <f>SUMPRODUCT(($A$131:$A$212&lt;=$B$4)*($E$131:$E$212))</f>
        <v>0</v>
      </c>
      <c r="G131">
        <f t="shared" si="22"/>
        <v>0</v>
      </c>
      <c r="H131">
        <f t="shared" si="23"/>
        <v>0</v>
      </c>
    </row>
    <row r="132" spans="1:8" x14ac:dyDescent="0.35">
      <c r="A132">
        <v>120</v>
      </c>
      <c r="B132">
        <f t="shared" si="18"/>
        <v>0</v>
      </c>
      <c r="C132">
        <f t="shared" si="19"/>
        <v>0</v>
      </c>
      <c r="D132">
        <f t="shared" si="20"/>
        <v>3175042373.7803273</v>
      </c>
      <c r="E132">
        <f t="shared" si="21"/>
        <v>0</v>
      </c>
      <c r="F132">
        <f>SUMPRODUCT(($A$132:$A$212&lt;=$B$4)*($E$132:$E$212))</f>
        <v>0</v>
      </c>
      <c r="G132">
        <f t="shared" si="22"/>
        <v>0</v>
      </c>
      <c r="H132">
        <f t="shared" si="23"/>
        <v>0</v>
      </c>
    </row>
    <row r="133" spans="1:8" x14ac:dyDescent="0.35">
      <c r="A133">
        <v>121</v>
      </c>
      <c r="B133">
        <f t="shared" si="18"/>
        <v>0</v>
      </c>
      <c r="C133">
        <f t="shared" si="19"/>
        <v>0</v>
      </c>
      <c r="D133">
        <f t="shared" si="20"/>
        <v>3810050848.5363936</v>
      </c>
      <c r="E133">
        <f t="shared" si="21"/>
        <v>0</v>
      </c>
      <c r="F133">
        <f>SUMPRODUCT(($A$133:$A$212&lt;=$B$4)*($E$133:$E$212))</f>
        <v>0</v>
      </c>
      <c r="G133">
        <f t="shared" si="22"/>
        <v>0</v>
      </c>
      <c r="H133">
        <f t="shared" si="23"/>
        <v>0</v>
      </c>
    </row>
    <row r="134" spans="1:8" x14ac:dyDescent="0.35">
      <c r="A134">
        <v>122</v>
      </c>
      <c r="B134">
        <f t="shared" si="18"/>
        <v>0</v>
      </c>
      <c r="C134">
        <f t="shared" si="19"/>
        <v>0</v>
      </c>
      <c r="D134">
        <f t="shared" si="20"/>
        <v>4572061018.2436714</v>
      </c>
      <c r="E134">
        <f t="shared" si="21"/>
        <v>0</v>
      </c>
      <c r="F134">
        <f>SUMPRODUCT(($A$134:$A$212&lt;=$B$4)*($E$134:$E$212))</f>
        <v>0</v>
      </c>
      <c r="G134">
        <f t="shared" si="22"/>
        <v>0</v>
      </c>
      <c r="H134">
        <f t="shared" si="23"/>
        <v>0</v>
      </c>
    </row>
    <row r="135" spans="1:8" x14ac:dyDescent="0.35">
      <c r="A135">
        <v>123</v>
      </c>
      <c r="B135">
        <f t="shared" si="18"/>
        <v>0</v>
      </c>
      <c r="C135">
        <f t="shared" si="19"/>
        <v>0</v>
      </c>
      <c r="D135">
        <f t="shared" si="20"/>
        <v>5486473221.8924065</v>
      </c>
      <c r="E135">
        <f t="shared" si="21"/>
        <v>0</v>
      </c>
      <c r="F135">
        <f>SUMPRODUCT(($A$135:$A$212&lt;=$B$4)*($E$135:$E$212))</f>
        <v>0</v>
      </c>
      <c r="G135">
        <f t="shared" si="22"/>
        <v>0</v>
      </c>
      <c r="H135">
        <f t="shared" si="23"/>
        <v>0</v>
      </c>
    </row>
    <row r="136" spans="1:8" x14ac:dyDescent="0.35">
      <c r="A136">
        <v>124</v>
      </c>
      <c r="B136">
        <f t="shared" si="18"/>
        <v>0</v>
      </c>
      <c r="C136">
        <f t="shared" si="19"/>
        <v>0</v>
      </c>
      <c r="D136">
        <f t="shared" si="20"/>
        <v>6583767866.2708864</v>
      </c>
      <c r="E136">
        <f t="shared" si="21"/>
        <v>0</v>
      </c>
      <c r="F136">
        <f>SUMPRODUCT(($A$136:$A$212&lt;=$B$4)*($E$136:$E$212))</f>
        <v>0</v>
      </c>
      <c r="G136">
        <f t="shared" si="22"/>
        <v>0</v>
      </c>
      <c r="H136">
        <f t="shared" si="23"/>
        <v>0</v>
      </c>
    </row>
    <row r="137" spans="1:8" x14ac:dyDescent="0.35">
      <c r="A137">
        <v>125</v>
      </c>
      <c r="B137">
        <f t="shared" si="18"/>
        <v>0</v>
      </c>
      <c r="C137">
        <f t="shared" si="19"/>
        <v>0</v>
      </c>
      <c r="D137">
        <f t="shared" si="20"/>
        <v>7900521439.5250645</v>
      </c>
      <c r="E137">
        <f t="shared" si="21"/>
        <v>0</v>
      </c>
      <c r="F137">
        <f>SUMPRODUCT(($A$137:$A$212&lt;=$B$4)*($E$137:$E$212))</f>
        <v>0</v>
      </c>
      <c r="G137">
        <f t="shared" si="22"/>
        <v>0</v>
      </c>
      <c r="H137">
        <f t="shared" si="23"/>
        <v>0</v>
      </c>
    </row>
    <row r="138" spans="1:8" x14ac:dyDescent="0.35">
      <c r="A138">
        <v>126</v>
      </c>
      <c r="B138">
        <f t="shared" si="18"/>
        <v>0</v>
      </c>
      <c r="C138">
        <f t="shared" si="19"/>
        <v>0</v>
      </c>
      <c r="D138">
        <f t="shared" si="20"/>
        <v>9480625727.4300766</v>
      </c>
      <c r="E138">
        <f t="shared" si="21"/>
        <v>0</v>
      </c>
      <c r="F138">
        <f>SUMPRODUCT(($A$138:$A$212&lt;=$B$4)*($E$138:$E$212))</f>
        <v>0</v>
      </c>
      <c r="G138">
        <f t="shared" si="22"/>
        <v>0</v>
      </c>
      <c r="H138">
        <f t="shared" si="23"/>
        <v>0</v>
      </c>
    </row>
    <row r="139" spans="1:8" x14ac:dyDescent="0.35">
      <c r="A139">
        <v>127</v>
      </c>
      <c r="B139">
        <f t="shared" si="18"/>
        <v>0</v>
      </c>
      <c r="C139">
        <f t="shared" si="19"/>
        <v>0</v>
      </c>
      <c r="D139">
        <f t="shared" si="20"/>
        <v>11376750872.916092</v>
      </c>
      <c r="E139">
        <f t="shared" si="21"/>
        <v>0</v>
      </c>
      <c r="F139">
        <f>SUMPRODUCT(($A$139:$A$212&lt;=$B$4)*($E$139:$E$212))</f>
        <v>0</v>
      </c>
      <c r="G139">
        <f t="shared" si="22"/>
        <v>0</v>
      </c>
      <c r="H139">
        <f t="shared" si="23"/>
        <v>0</v>
      </c>
    </row>
    <row r="140" spans="1:8" x14ac:dyDescent="0.35">
      <c r="A140">
        <v>128</v>
      </c>
      <c r="B140">
        <f t="shared" si="18"/>
        <v>0</v>
      </c>
      <c r="C140">
        <f t="shared" si="19"/>
        <v>0</v>
      </c>
      <c r="D140">
        <f t="shared" si="20"/>
        <v>13652101047.499308</v>
      </c>
      <c r="E140">
        <f t="shared" si="21"/>
        <v>0</v>
      </c>
      <c r="F140">
        <f>SUMPRODUCT(($A$140:$A$212&lt;=$B$4)*($E$140:$E$212))</f>
        <v>0</v>
      </c>
      <c r="G140">
        <f t="shared" si="22"/>
        <v>0</v>
      </c>
      <c r="H140">
        <f t="shared" si="23"/>
        <v>0</v>
      </c>
    </row>
    <row r="141" spans="1:8" x14ac:dyDescent="0.35">
      <c r="A141">
        <v>129</v>
      </c>
      <c r="B141">
        <f t="shared" ref="B141:B172" si="24">IF(A141&lt;=$B$4,PRODUCT(1+IF($D$4:$D$50&lt;=A141,$F$4:$F$50,0)),0)</f>
        <v>0</v>
      </c>
      <c r="C141">
        <f t="shared" ref="C141:C172" si="25">IF(A141&lt;=$B$4,$B$3*B141,0)</f>
        <v>0</v>
      </c>
      <c r="D141">
        <f t="shared" ref="D141:D172" si="26">(1+$B$5)^A141</f>
        <v>16382521256.999168</v>
      </c>
      <c r="E141">
        <f t="shared" ref="E141:E172" si="27">IF(A141&lt;=$B$4,C141/D141,0)</f>
        <v>0</v>
      </c>
      <c r="F141">
        <f>SUMPRODUCT(($A$141:$A$212&lt;=$B$4)*($E$141:$E$212))</f>
        <v>0</v>
      </c>
      <c r="G141">
        <f t="shared" ref="G141:G172" si="28">F141*$B$5</f>
        <v>0</v>
      </c>
      <c r="H141">
        <f t="shared" ref="H141:H172" si="29">F141+G141-C141</f>
        <v>0</v>
      </c>
    </row>
    <row r="142" spans="1:8" x14ac:dyDescent="0.35">
      <c r="A142">
        <v>130</v>
      </c>
      <c r="B142">
        <f t="shared" si="24"/>
        <v>0</v>
      </c>
      <c r="C142">
        <f t="shared" si="25"/>
        <v>0</v>
      </c>
      <c r="D142">
        <f t="shared" si="26"/>
        <v>19659025508.399002</v>
      </c>
      <c r="E142">
        <f t="shared" si="27"/>
        <v>0</v>
      </c>
      <c r="F142">
        <f>SUMPRODUCT(($A$142:$A$212&lt;=$B$4)*($E$142:$E$212))</f>
        <v>0</v>
      </c>
      <c r="G142">
        <f t="shared" si="28"/>
        <v>0</v>
      </c>
      <c r="H142">
        <f t="shared" si="29"/>
        <v>0</v>
      </c>
    </row>
    <row r="143" spans="1:8" x14ac:dyDescent="0.35">
      <c r="A143">
        <v>131</v>
      </c>
      <c r="B143">
        <f t="shared" si="24"/>
        <v>0</v>
      </c>
      <c r="C143">
        <f t="shared" si="25"/>
        <v>0</v>
      </c>
      <c r="D143">
        <f t="shared" si="26"/>
        <v>23590830610.078804</v>
      </c>
      <c r="E143">
        <f t="shared" si="27"/>
        <v>0</v>
      </c>
      <c r="F143">
        <f>SUMPRODUCT(($A$143:$A$212&lt;=$B$4)*($E$143:$E$212))</f>
        <v>0</v>
      </c>
      <c r="G143">
        <f t="shared" si="28"/>
        <v>0</v>
      </c>
      <c r="H143">
        <f t="shared" si="29"/>
        <v>0</v>
      </c>
    </row>
    <row r="144" spans="1:8" x14ac:dyDescent="0.35">
      <c r="A144">
        <v>132</v>
      </c>
      <c r="B144">
        <f t="shared" si="24"/>
        <v>0</v>
      </c>
      <c r="C144">
        <f t="shared" si="25"/>
        <v>0</v>
      </c>
      <c r="D144">
        <f t="shared" si="26"/>
        <v>28308996732.094563</v>
      </c>
      <c r="E144">
        <f t="shared" si="27"/>
        <v>0</v>
      </c>
      <c r="F144">
        <f>SUMPRODUCT(($A$144:$A$212&lt;=$B$4)*($E$144:$E$212))</f>
        <v>0</v>
      </c>
      <c r="G144">
        <f t="shared" si="28"/>
        <v>0</v>
      </c>
      <c r="H144">
        <f t="shared" si="29"/>
        <v>0</v>
      </c>
    </row>
    <row r="145" spans="1:8" x14ac:dyDescent="0.35">
      <c r="A145">
        <v>133</v>
      </c>
      <c r="B145">
        <f t="shared" si="24"/>
        <v>0</v>
      </c>
      <c r="C145">
        <f t="shared" si="25"/>
        <v>0</v>
      </c>
      <c r="D145">
        <f t="shared" si="26"/>
        <v>33970796078.513474</v>
      </c>
      <c r="E145">
        <f t="shared" si="27"/>
        <v>0</v>
      </c>
      <c r="F145">
        <f>SUMPRODUCT(($A$145:$A$212&lt;=$B$4)*($E$145:$E$212))</f>
        <v>0</v>
      </c>
      <c r="G145">
        <f t="shared" si="28"/>
        <v>0</v>
      </c>
      <c r="H145">
        <f t="shared" si="29"/>
        <v>0</v>
      </c>
    </row>
    <row r="146" spans="1:8" x14ac:dyDescent="0.35">
      <c r="A146">
        <v>134</v>
      </c>
      <c r="B146">
        <f t="shared" si="24"/>
        <v>0</v>
      </c>
      <c r="C146">
        <f t="shared" si="25"/>
        <v>0</v>
      </c>
      <c r="D146">
        <f t="shared" si="26"/>
        <v>40764955294.216171</v>
      </c>
      <c r="E146">
        <f t="shared" si="27"/>
        <v>0</v>
      </c>
      <c r="F146">
        <f>SUMPRODUCT(($A$146:$A$212&lt;=$B$4)*($E$146:$E$212))</f>
        <v>0</v>
      </c>
      <c r="G146">
        <f t="shared" si="28"/>
        <v>0</v>
      </c>
      <c r="H146">
        <f t="shared" si="29"/>
        <v>0</v>
      </c>
    </row>
    <row r="147" spans="1:8" x14ac:dyDescent="0.35">
      <c r="A147">
        <v>135</v>
      </c>
      <c r="B147">
        <f t="shared" si="24"/>
        <v>0</v>
      </c>
      <c r="C147">
        <f t="shared" si="25"/>
        <v>0</v>
      </c>
      <c r="D147">
        <f t="shared" si="26"/>
        <v>48917946353.059402</v>
      </c>
      <c r="E147">
        <f t="shared" si="27"/>
        <v>0</v>
      </c>
      <c r="F147">
        <f>SUMPRODUCT(($A$147:$A$212&lt;=$B$4)*($E$147:$E$212))</f>
        <v>0</v>
      </c>
      <c r="G147">
        <f t="shared" si="28"/>
        <v>0</v>
      </c>
      <c r="H147">
        <f t="shared" si="29"/>
        <v>0</v>
      </c>
    </row>
    <row r="148" spans="1:8" x14ac:dyDescent="0.35">
      <c r="A148">
        <v>136</v>
      </c>
      <c r="B148">
        <f t="shared" si="24"/>
        <v>0</v>
      </c>
      <c r="C148">
        <f t="shared" si="25"/>
        <v>0</v>
      </c>
      <c r="D148">
        <f t="shared" si="26"/>
        <v>58701535623.67128</v>
      </c>
      <c r="E148">
        <f t="shared" si="27"/>
        <v>0</v>
      </c>
      <c r="F148">
        <f>SUMPRODUCT(($A$148:$A$212&lt;=$B$4)*($E$148:$E$212))</f>
        <v>0</v>
      </c>
      <c r="G148">
        <f t="shared" si="28"/>
        <v>0</v>
      </c>
      <c r="H148">
        <f t="shared" si="29"/>
        <v>0</v>
      </c>
    </row>
    <row r="149" spans="1:8" x14ac:dyDescent="0.35">
      <c r="A149">
        <v>137</v>
      </c>
      <c r="B149">
        <f t="shared" si="24"/>
        <v>0</v>
      </c>
      <c r="C149">
        <f t="shared" si="25"/>
        <v>0</v>
      </c>
      <c r="D149">
        <f t="shared" si="26"/>
        <v>70441842748.405533</v>
      </c>
      <c r="E149">
        <f t="shared" si="27"/>
        <v>0</v>
      </c>
      <c r="F149">
        <f>SUMPRODUCT(($A$149:$A$212&lt;=$B$4)*($E$149:$E$212))</f>
        <v>0</v>
      </c>
      <c r="G149">
        <f t="shared" si="28"/>
        <v>0</v>
      </c>
      <c r="H149">
        <f t="shared" si="29"/>
        <v>0</v>
      </c>
    </row>
    <row r="150" spans="1:8" x14ac:dyDescent="0.35">
      <c r="A150">
        <v>138</v>
      </c>
      <c r="B150">
        <f t="shared" si="24"/>
        <v>0</v>
      </c>
      <c r="C150">
        <f t="shared" si="25"/>
        <v>0</v>
      </c>
      <c r="D150">
        <f t="shared" si="26"/>
        <v>84530211298.086639</v>
      </c>
      <c r="E150">
        <f t="shared" si="27"/>
        <v>0</v>
      </c>
      <c r="F150">
        <f>SUMPRODUCT(($A$150:$A$212&lt;=$B$4)*($E$150:$E$212))</f>
        <v>0</v>
      </c>
      <c r="G150">
        <f t="shared" si="28"/>
        <v>0</v>
      </c>
      <c r="H150">
        <f t="shared" si="29"/>
        <v>0</v>
      </c>
    </row>
    <row r="151" spans="1:8" x14ac:dyDescent="0.35">
      <c r="A151">
        <v>139</v>
      </c>
      <c r="B151">
        <f t="shared" si="24"/>
        <v>0</v>
      </c>
      <c r="C151">
        <f t="shared" si="25"/>
        <v>0</v>
      </c>
      <c r="D151">
        <f t="shared" si="26"/>
        <v>101436253557.70396</v>
      </c>
      <c r="E151">
        <f t="shared" si="27"/>
        <v>0</v>
      </c>
      <c r="F151">
        <f>SUMPRODUCT(($A$151:$A$212&lt;=$B$4)*($E$151:$E$212))</f>
        <v>0</v>
      </c>
      <c r="G151">
        <f t="shared" si="28"/>
        <v>0</v>
      </c>
      <c r="H151">
        <f t="shared" si="29"/>
        <v>0</v>
      </c>
    </row>
    <row r="152" spans="1:8" x14ac:dyDescent="0.35">
      <c r="A152">
        <v>140</v>
      </c>
      <c r="B152">
        <f t="shared" si="24"/>
        <v>0</v>
      </c>
      <c r="C152">
        <f t="shared" si="25"/>
        <v>0</v>
      </c>
      <c r="D152">
        <f t="shared" si="26"/>
        <v>121723504269.24475</v>
      </c>
      <c r="E152">
        <f t="shared" si="27"/>
        <v>0</v>
      </c>
      <c r="F152">
        <f>SUMPRODUCT(($A$152:$A$212&lt;=$B$4)*($E$152:$E$212))</f>
        <v>0</v>
      </c>
      <c r="G152">
        <f t="shared" si="28"/>
        <v>0</v>
      </c>
      <c r="H152">
        <f t="shared" si="29"/>
        <v>0</v>
      </c>
    </row>
    <row r="153" spans="1:8" x14ac:dyDescent="0.35">
      <c r="A153">
        <v>141</v>
      </c>
      <c r="B153">
        <f t="shared" si="24"/>
        <v>0</v>
      </c>
      <c r="C153">
        <f t="shared" si="25"/>
        <v>0</v>
      </c>
      <c r="D153">
        <f t="shared" si="26"/>
        <v>146068205123.09372</v>
      </c>
      <c r="E153">
        <f t="shared" si="27"/>
        <v>0</v>
      </c>
      <c r="F153">
        <f>SUMPRODUCT(($A$153:$A$212&lt;=$B$4)*($E$153:$E$212))</f>
        <v>0</v>
      </c>
      <c r="G153">
        <f t="shared" si="28"/>
        <v>0</v>
      </c>
      <c r="H153">
        <f t="shared" si="29"/>
        <v>0</v>
      </c>
    </row>
    <row r="154" spans="1:8" x14ac:dyDescent="0.35">
      <c r="A154">
        <v>142</v>
      </c>
      <c r="B154">
        <f t="shared" si="24"/>
        <v>0</v>
      </c>
      <c r="C154">
        <f t="shared" si="25"/>
        <v>0</v>
      </c>
      <c r="D154">
        <f t="shared" si="26"/>
        <v>175281846147.71243</v>
      </c>
      <c r="E154">
        <f t="shared" si="27"/>
        <v>0</v>
      </c>
      <c r="F154">
        <f>SUMPRODUCT(($A$154:$A$212&lt;=$B$4)*($E$154:$E$212))</f>
        <v>0</v>
      </c>
      <c r="G154">
        <f t="shared" si="28"/>
        <v>0</v>
      </c>
      <c r="H154">
        <f t="shared" si="29"/>
        <v>0</v>
      </c>
    </row>
    <row r="155" spans="1:8" x14ac:dyDescent="0.35">
      <c r="A155">
        <v>143</v>
      </c>
      <c r="B155">
        <f t="shared" si="24"/>
        <v>0</v>
      </c>
      <c r="C155">
        <f t="shared" si="25"/>
        <v>0</v>
      </c>
      <c r="D155">
        <f t="shared" si="26"/>
        <v>210338215377.25494</v>
      </c>
      <c r="E155">
        <f t="shared" si="27"/>
        <v>0</v>
      </c>
      <c r="F155">
        <f>SUMPRODUCT(($A$155:$A$212&lt;=$B$4)*($E$155:$E$212))</f>
        <v>0</v>
      </c>
      <c r="G155">
        <f t="shared" si="28"/>
        <v>0</v>
      </c>
      <c r="H155">
        <f t="shared" si="29"/>
        <v>0</v>
      </c>
    </row>
    <row r="156" spans="1:8" x14ac:dyDescent="0.35">
      <c r="A156">
        <v>144</v>
      </c>
      <c r="B156">
        <f t="shared" si="24"/>
        <v>0</v>
      </c>
      <c r="C156">
        <f t="shared" si="25"/>
        <v>0</v>
      </c>
      <c r="D156">
        <f t="shared" si="26"/>
        <v>252405858452.7059</v>
      </c>
      <c r="E156">
        <f t="shared" si="27"/>
        <v>0</v>
      </c>
      <c r="F156">
        <f>SUMPRODUCT(($A$156:$A$212&lt;=$B$4)*($E$156:$E$212))</f>
        <v>0</v>
      </c>
      <c r="G156">
        <f t="shared" si="28"/>
        <v>0</v>
      </c>
      <c r="H156">
        <f t="shared" si="29"/>
        <v>0</v>
      </c>
    </row>
    <row r="157" spans="1:8" x14ac:dyDescent="0.35">
      <c r="A157">
        <v>145</v>
      </c>
      <c r="B157">
        <f t="shared" si="24"/>
        <v>0</v>
      </c>
      <c r="C157">
        <f t="shared" si="25"/>
        <v>0</v>
      </c>
      <c r="D157">
        <f t="shared" si="26"/>
        <v>302887030143.24707</v>
      </c>
      <c r="E157">
        <f t="shared" si="27"/>
        <v>0</v>
      </c>
      <c r="F157">
        <f>SUMPRODUCT(($A$157:$A$212&lt;=$B$4)*($E$157:$E$212))</f>
        <v>0</v>
      </c>
      <c r="G157">
        <f t="shared" si="28"/>
        <v>0</v>
      </c>
      <c r="H157">
        <f t="shared" si="29"/>
        <v>0</v>
      </c>
    </row>
    <row r="158" spans="1:8" x14ac:dyDescent="0.35">
      <c r="A158">
        <v>146</v>
      </c>
      <c r="B158">
        <f t="shared" si="24"/>
        <v>0</v>
      </c>
      <c r="C158">
        <f t="shared" si="25"/>
        <v>0</v>
      </c>
      <c r="D158">
        <f t="shared" si="26"/>
        <v>363464436171.89648</v>
      </c>
      <c r="E158">
        <f t="shared" si="27"/>
        <v>0</v>
      </c>
      <c r="F158">
        <f>SUMPRODUCT(($A$158:$A$212&lt;=$B$4)*($E$158:$E$212))</f>
        <v>0</v>
      </c>
      <c r="G158">
        <f t="shared" si="28"/>
        <v>0</v>
      </c>
      <c r="H158">
        <f t="shared" si="29"/>
        <v>0</v>
      </c>
    </row>
    <row r="159" spans="1:8" x14ac:dyDescent="0.35">
      <c r="A159">
        <v>147</v>
      </c>
      <c r="B159">
        <f t="shared" si="24"/>
        <v>0</v>
      </c>
      <c r="C159">
        <f t="shared" si="25"/>
        <v>0</v>
      </c>
      <c r="D159">
        <f t="shared" si="26"/>
        <v>436157323406.27576</v>
      </c>
      <c r="E159">
        <f t="shared" si="27"/>
        <v>0</v>
      </c>
      <c r="F159">
        <f>SUMPRODUCT(($A$159:$A$212&lt;=$B$4)*($E$159:$E$212))</f>
        <v>0</v>
      </c>
      <c r="G159">
        <f t="shared" si="28"/>
        <v>0</v>
      </c>
      <c r="H159">
        <f t="shared" si="29"/>
        <v>0</v>
      </c>
    </row>
    <row r="160" spans="1:8" x14ac:dyDescent="0.35">
      <c r="A160">
        <v>148</v>
      </c>
      <c r="B160">
        <f t="shared" si="24"/>
        <v>0</v>
      </c>
      <c r="C160">
        <f t="shared" si="25"/>
        <v>0</v>
      </c>
      <c r="D160">
        <f t="shared" si="26"/>
        <v>523388788087.53094</v>
      </c>
      <c r="E160">
        <f t="shared" si="27"/>
        <v>0</v>
      </c>
      <c r="F160">
        <f>SUMPRODUCT(($A$160:$A$212&lt;=$B$4)*($E$160:$E$212))</f>
        <v>0</v>
      </c>
      <c r="G160">
        <f t="shared" si="28"/>
        <v>0</v>
      </c>
      <c r="H160">
        <f t="shared" si="29"/>
        <v>0</v>
      </c>
    </row>
    <row r="161" spans="1:8" x14ac:dyDescent="0.35">
      <c r="A161">
        <v>149</v>
      </c>
      <c r="B161">
        <f t="shared" si="24"/>
        <v>0</v>
      </c>
      <c r="C161">
        <f t="shared" si="25"/>
        <v>0</v>
      </c>
      <c r="D161">
        <f t="shared" si="26"/>
        <v>628066545705.03711</v>
      </c>
      <c r="E161">
        <f t="shared" si="27"/>
        <v>0</v>
      </c>
      <c r="F161">
        <f>SUMPRODUCT(($A$161:$A$212&lt;=$B$4)*($E$161:$E$212))</f>
        <v>0</v>
      </c>
      <c r="G161">
        <f t="shared" si="28"/>
        <v>0</v>
      </c>
      <c r="H161">
        <f t="shared" si="29"/>
        <v>0</v>
      </c>
    </row>
    <row r="162" spans="1:8" x14ac:dyDescent="0.35">
      <c r="A162">
        <v>150</v>
      </c>
      <c r="B162">
        <f t="shared" si="24"/>
        <v>0</v>
      </c>
      <c r="C162">
        <f t="shared" si="25"/>
        <v>0</v>
      </c>
      <c r="D162">
        <f t="shared" si="26"/>
        <v>753679854846.04443</v>
      </c>
      <c r="E162">
        <f t="shared" si="27"/>
        <v>0</v>
      </c>
      <c r="F162">
        <f>SUMPRODUCT(($A$162:$A$212&lt;=$B$4)*($E$162:$E$212))</f>
        <v>0</v>
      </c>
      <c r="G162">
        <f t="shared" si="28"/>
        <v>0</v>
      </c>
      <c r="H162">
        <f t="shared" si="29"/>
        <v>0</v>
      </c>
    </row>
    <row r="163" spans="1:8" x14ac:dyDescent="0.35">
      <c r="A163">
        <v>151</v>
      </c>
      <c r="B163">
        <f t="shared" si="24"/>
        <v>0</v>
      </c>
      <c r="C163">
        <f t="shared" si="25"/>
        <v>0</v>
      </c>
      <c r="D163">
        <f t="shared" si="26"/>
        <v>904415825815.2533</v>
      </c>
      <c r="E163">
        <f t="shared" si="27"/>
        <v>0</v>
      </c>
      <c r="F163">
        <f>SUMPRODUCT(($A$163:$A$212&lt;=$B$4)*($E$163:$E$212))</f>
        <v>0</v>
      </c>
      <c r="G163">
        <f t="shared" si="28"/>
        <v>0</v>
      </c>
      <c r="H163">
        <f t="shared" si="29"/>
        <v>0</v>
      </c>
    </row>
    <row r="164" spans="1:8" x14ac:dyDescent="0.35">
      <c r="A164">
        <v>152</v>
      </c>
      <c r="B164">
        <f t="shared" si="24"/>
        <v>0</v>
      </c>
      <c r="C164">
        <f t="shared" si="25"/>
        <v>0</v>
      </c>
      <c r="D164">
        <f t="shared" si="26"/>
        <v>1085298990978.304</v>
      </c>
      <c r="E164">
        <f t="shared" si="27"/>
        <v>0</v>
      </c>
      <c r="F164">
        <f>SUMPRODUCT(($A$164:$A$212&lt;=$B$4)*($E$164:$E$212))</f>
        <v>0</v>
      </c>
      <c r="G164">
        <f t="shared" si="28"/>
        <v>0</v>
      </c>
      <c r="H164">
        <f t="shared" si="29"/>
        <v>0</v>
      </c>
    </row>
    <row r="165" spans="1:8" x14ac:dyDescent="0.35">
      <c r="A165">
        <v>153</v>
      </c>
      <c r="B165">
        <f t="shared" si="24"/>
        <v>0</v>
      </c>
      <c r="C165">
        <f t="shared" si="25"/>
        <v>0</v>
      </c>
      <c r="D165">
        <f t="shared" si="26"/>
        <v>1302358789173.9648</v>
      </c>
      <c r="E165">
        <f t="shared" si="27"/>
        <v>0</v>
      </c>
      <c r="F165">
        <f>SUMPRODUCT(($A$165:$A$212&lt;=$B$4)*($E$165:$E$212))</f>
        <v>0</v>
      </c>
      <c r="G165">
        <f t="shared" si="28"/>
        <v>0</v>
      </c>
      <c r="H165">
        <f t="shared" si="29"/>
        <v>0</v>
      </c>
    </row>
    <row r="166" spans="1:8" x14ac:dyDescent="0.35">
      <c r="A166">
        <v>154</v>
      </c>
      <c r="B166">
        <f t="shared" si="24"/>
        <v>0</v>
      </c>
      <c r="C166">
        <f t="shared" si="25"/>
        <v>0</v>
      </c>
      <c r="D166">
        <f t="shared" si="26"/>
        <v>1562830547008.7578</v>
      </c>
      <c r="E166">
        <f t="shared" si="27"/>
        <v>0</v>
      </c>
      <c r="F166">
        <f>SUMPRODUCT(($A$166:$A$212&lt;=$B$4)*($E$166:$E$212))</f>
        <v>0</v>
      </c>
      <c r="G166">
        <f t="shared" si="28"/>
        <v>0</v>
      </c>
      <c r="H166">
        <f t="shared" si="29"/>
        <v>0</v>
      </c>
    </row>
    <row r="167" spans="1:8" x14ac:dyDescent="0.35">
      <c r="A167">
        <v>155</v>
      </c>
      <c r="B167">
        <f t="shared" si="24"/>
        <v>0</v>
      </c>
      <c r="C167">
        <f t="shared" si="25"/>
        <v>0</v>
      </c>
      <c r="D167">
        <f t="shared" si="26"/>
        <v>1875396656410.5093</v>
      </c>
      <c r="E167">
        <f t="shared" si="27"/>
        <v>0</v>
      </c>
      <c r="F167">
        <f>SUMPRODUCT(($A$167:$A$212&lt;=$B$4)*($E$167:$E$212))</f>
        <v>0</v>
      </c>
      <c r="G167">
        <f t="shared" si="28"/>
        <v>0</v>
      </c>
      <c r="H167">
        <f t="shared" si="29"/>
        <v>0</v>
      </c>
    </row>
    <row r="168" spans="1:8" x14ac:dyDescent="0.35">
      <c r="A168">
        <v>156</v>
      </c>
      <c r="B168">
        <f t="shared" si="24"/>
        <v>0</v>
      </c>
      <c r="C168">
        <f t="shared" si="25"/>
        <v>0</v>
      </c>
      <c r="D168">
        <f t="shared" si="26"/>
        <v>2250475987692.6108</v>
      </c>
      <c r="E168">
        <f t="shared" si="27"/>
        <v>0</v>
      </c>
      <c r="F168">
        <f>SUMPRODUCT(($A$168:$A$212&lt;=$B$4)*($E$168:$E$212))</f>
        <v>0</v>
      </c>
      <c r="G168">
        <f t="shared" si="28"/>
        <v>0</v>
      </c>
      <c r="H168">
        <f t="shared" si="29"/>
        <v>0</v>
      </c>
    </row>
    <row r="169" spans="1:8" x14ac:dyDescent="0.35">
      <c r="A169">
        <v>157</v>
      </c>
      <c r="B169">
        <f t="shared" si="24"/>
        <v>0</v>
      </c>
      <c r="C169">
        <f t="shared" si="25"/>
        <v>0</v>
      </c>
      <c r="D169">
        <f t="shared" si="26"/>
        <v>2700571185231.1333</v>
      </c>
      <c r="E169">
        <f t="shared" si="27"/>
        <v>0</v>
      </c>
      <c r="F169">
        <f>SUMPRODUCT(($A$169:$A$212&lt;=$B$4)*($E$169:$E$212))</f>
        <v>0</v>
      </c>
      <c r="G169">
        <f t="shared" si="28"/>
        <v>0</v>
      </c>
      <c r="H169">
        <f t="shared" si="29"/>
        <v>0</v>
      </c>
    </row>
    <row r="170" spans="1:8" x14ac:dyDescent="0.35">
      <c r="A170">
        <v>158</v>
      </c>
      <c r="B170">
        <f t="shared" si="24"/>
        <v>0</v>
      </c>
      <c r="C170">
        <f t="shared" si="25"/>
        <v>0</v>
      </c>
      <c r="D170">
        <f t="shared" si="26"/>
        <v>3240685422277.3599</v>
      </c>
      <c r="E170">
        <f t="shared" si="27"/>
        <v>0</v>
      </c>
      <c r="F170">
        <f>SUMPRODUCT(($A$170:$A$212&lt;=$B$4)*($E$170:$E$212))</f>
        <v>0</v>
      </c>
      <c r="G170">
        <f t="shared" si="28"/>
        <v>0</v>
      </c>
      <c r="H170">
        <f t="shared" si="29"/>
        <v>0</v>
      </c>
    </row>
    <row r="171" spans="1:8" x14ac:dyDescent="0.35">
      <c r="A171">
        <v>159</v>
      </c>
      <c r="B171">
        <f t="shared" si="24"/>
        <v>0</v>
      </c>
      <c r="C171">
        <f t="shared" si="25"/>
        <v>0</v>
      </c>
      <c r="D171">
        <f t="shared" si="26"/>
        <v>3888822506732.8315</v>
      </c>
      <c r="E171">
        <f t="shared" si="27"/>
        <v>0</v>
      </c>
      <c r="F171">
        <f>SUMPRODUCT(($A$171:$A$212&lt;=$B$4)*($E$171:$E$212))</f>
        <v>0</v>
      </c>
      <c r="G171">
        <f t="shared" si="28"/>
        <v>0</v>
      </c>
      <c r="H171">
        <f t="shared" si="29"/>
        <v>0</v>
      </c>
    </row>
    <row r="172" spans="1:8" x14ac:dyDescent="0.35">
      <c r="A172">
        <v>160</v>
      </c>
      <c r="B172">
        <f t="shared" si="24"/>
        <v>0</v>
      </c>
      <c r="C172">
        <f t="shared" si="25"/>
        <v>0</v>
      </c>
      <c r="D172">
        <f t="shared" si="26"/>
        <v>4666587008079.3975</v>
      </c>
      <c r="E172">
        <f t="shared" si="27"/>
        <v>0</v>
      </c>
      <c r="F172">
        <f>SUMPRODUCT(($A$172:$A$212&lt;=$B$4)*($E$172:$E$212))</f>
        <v>0</v>
      </c>
      <c r="G172">
        <f t="shared" si="28"/>
        <v>0</v>
      </c>
      <c r="H172">
        <f t="shared" si="29"/>
        <v>0</v>
      </c>
    </row>
    <row r="173" spans="1:8" x14ac:dyDescent="0.35">
      <c r="A173">
        <v>161</v>
      </c>
      <c r="B173">
        <f t="shared" ref="B173:B204" si="30">IF(A173&lt;=$B$4,PRODUCT(1+IF($D$4:$D$50&lt;=A173,$F$4:$F$50,0)),0)</f>
        <v>0</v>
      </c>
      <c r="C173">
        <f t="shared" ref="C173:C204" si="31">IF(A173&lt;=$B$4,$B$3*B173,0)</f>
        <v>0</v>
      </c>
      <c r="D173">
        <f t="shared" ref="D173:D204" si="32">(1+$B$5)^A173</f>
        <v>5599904409695.2764</v>
      </c>
      <c r="E173">
        <f t="shared" ref="E173:E204" si="33">IF(A173&lt;=$B$4,C173/D173,0)</f>
        <v>0</v>
      </c>
      <c r="F173">
        <f>SUMPRODUCT(($A$173:$A$212&lt;=$B$4)*($E$173:$E$212))</f>
        <v>0</v>
      </c>
      <c r="G173">
        <f t="shared" ref="G173:G204" si="34">F173*$B$5</f>
        <v>0</v>
      </c>
      <c r="H173">
        <f t="shared" ref="H173:H204" si="35">F173+G173-C173</f>
        <v>0</v>
      </c>
    </row>
    <row r="174" spans="1:8" x14ac:dyDescent="0.35">
      <c r="A174">
        <v>162</v>
      </c>
      <c r="B174">
        <f t="shared" si="30"/>
        <v>0</v>
      </c>
      <c r="C174">
        <f t="shared" si="31"/>
        <v>0</v>
      </c>
      <c r="D174">
        <f t="shared" si="32"/>
        <v>6719885291634.332</v>
      </c>
      <c r="E174">
        <f t="shared" si="33"/>
        <v>0</v>
      </c>
      <c r="F174">
        <f>SUMPRODUCT(($A$174:$A$212&lt;=$B$4)*($E$174:$E$212))</f>
        <v>0</v>
      </c>
      <c r="G174">
        <f t="shared" si="34"/>
        <v>0</v>
      </c>
      <c r="H174">
        <f t="shared" si="35"/>
        <v>0</v>
      </c>
    </row>
    <row r="175" spans="1:8" x14ac:dyDescent="0.35">
      <c r="A175">
        <v>163</v>
      </c>
      <c r="B175">
        <f t="shared" si="30"/>
        <v>0</v>
      </c>
      <c r="C175">
        <f t="shared" si="31"/>
        <v>0</v>
      </c>
      <c r="D175">
        <f t="shared" si="32"/>
        <v>8063862349961.1973</v>
      </c>
      <c r="E175">
        <f t="shared" si="33"/>
        <v>0</v>
      </c>
      <c r="F175">
        <f>SUMPRODUCT(($A$175:$A$212&lt;=$B$4)*($E$175:$E$212))</f>
        <v>0</v>
      </c>
      <c r="G175">
        <f t="shared" si="34"/>
        <v>0</v>
      </c>
      <c r="H175">
        <f t="shared" si="35"/>
        <v>0</v>
      </c>
    </row>
    <row r="176" spans="1:8" x14ac:dyDescent="0.35">
      <c r="A176">
        <v>164</v>
      </c>
      <c r="B176">
        <f t="shared" si="30"/>
        <v>0</v>
      </c>
      <c r="C176">
        <f t="shared" si="31"/>
        <v>0</v>
      </c>
      <c r="D176">
        <f t="shared" si="32"/>
        <v>9676634819953.4375</v>
      </c>
      <c r="E176">
        <f t="shared" si="33"/>
        <v>0</v>
      </c>
      <c r="F176">
        <f>SUMPRODUCT(($A$176:$A$212&lt;=$B$4)*($E$176:$E$212))</f>
        <v>0</v>
      </c>
      <c r="G176">
        <f t="shared" si="34"/>
        <v>0</v>
      </c>
      <c r="H176">
        <f t="shared" si="35"/>
        <v>0</v>
      </c>
    </row>
    <row r="177" spans="1:8" x14ac:dyDescent="0.35">
      <c r="A177">
        <v>165</v>
      </c>
      <c r="B177">
        <f t="shared" si="30"/>
        <v>0</v>
      </c>
      <c r="C177">
        <f t="shared" si="31"/>
        <v>0</v>
      </c>
      <c r="D177">
        <f t="shared" si="32"/>
        <v>11611961783944.125</v>
      </c>
      <c r="E177">
        <f t="shared" si="33"/>
        <v>0</v>
      </c>
      <c r="F177">
        <f>SUMPRODUCT(($A$177:$A$212&lt;=$B$4)*($E$177:$E$212))</f>
        <v>0</v>
      </c>
      <c r="G177">
        <f t="shared" si="34"/>
        <v>0</v>
      </c>
      <c r="H177">
        <f t="shared" si="35"/>
        <v>0</v>
      </c>
    </row>
    <row r="178" spans="1:8" x14ac:dyDescent="0.35">
      <c r="A178">
        <v>166</v>
      </c>
      <c r="B178">
        <f t="shared" si="30"/>
        <v>0</v>
      </c>
      <c r="C178">
        <f t="shared" si="31"/>
        <v>0</v>
      </c>
      <c r="D178">
        <f t="shared" si="32"/>
        <v>13934354140732.949</v>
      </c>
      <c r="E178">
        <f t="shared" si="33"/>
        <v>0</v>
      </c>
      <c r="F178">
        <f>SUMPRODUCT(($A$178:$A$212&lt;=$B$4)*($E$178:$E$212))</f>
        <v>0</v>
      </c>
      <c r="G178">
        <f t="shared" si="34"/>
        <v>0</v>
      </c>
      <c r="H178">
        <f t="shared" si="35"/>
        <v>0</v>
      </c>
    </row>
    <row r="179" spans="1:8" x14ac:dyDescent="0.35">
      <c r="A179">
        <v>167</v>
      </c>
      <c r="B179">
        <f t="shared" si="30"/>
        <v>0</v>
      </c>
      <c r="C179">
        <f t="shared" si="31"/>
        <v>0</v>
      </c>
      <c r="D179">
        <f t="shared" si="32"/>
        <v>16721224968879.539</v>
      </c>
      <c r="E179">
        <f t="shared" si="33"/>
        <v>0</v>
      </c>
      <c r="F179">
        <f>SUMPRODUCT(($A$179:$A$212&lt;=$B$4)*($E$179:$E$212))</f>
        <v>0</v>
      </c>
      <c r="G179">
        <f t="shared" si="34"/>
        <v>0</v>
      </c>
      <c r="H179">
        <f t="shared" si="35"/>
        <v>0</v>
      </c>
    </row>
    <row r="180" spans="1:8" x14ac:dyDescent="0.35">
      <c r="A180">
        <v>168</v>
      </c>
      <c r="B180">
        <f t="shared" si="30"/>
        <v>0</v>
      </c>
      <c r="C180">
        <f t="shared" si="31"/>
        <v>0</v>
      </c>
      <c r="D180">
        <f t="shared" si="32"/>
        <v>20065469962655.445</v>
      </c>
      <c r="E180">
        <f t="shared" si="33"/>
        <v>0</v>
      </c>
      <c r="F180">
        <f>SUMPRODUCT(($A$180:$A$212&lt;=$B$4)*($E$180:$E$212))</f>
        <v>0</v>
      </c>
      <c r="G180">
        <f t="shared" si="34"/>
        <v>0</v>
      </c>
      <c r="H180">
        <f t="shared" si="35"/>
        <v>0</v>
      </c>
    </row>
    <row r="181" spans="1:8" x14ac:dyDescent="0.35">
      <c r="A181">
        <v>169</v>
      </c>
      <c r="B181">
        <f t="shared" si="30"/>
        <v>0</v>
      </c>
      <c r="C181">
        <f t="shared" si="31"/>
        <v>0</v>
      </c>
      <c r="D181">
        <f t="shared" si="32"/>
        <v>24078563955186.535</v>
      </c>
      <c r="E181">
        <f t="shared" si="33"/>
        <v>0</v>
      </c>
      <c r="F181">
        <f>SUMPRODUCT(($A$181:$A$212&lt;=$B$4)*($E$181:$E$212))</f>
        <v>0</v>
      </c>
      <c r="G181">
        <f t="shared" si="34"/>
        <v>0</v>
      </c>
      <c r="H181">
        <f t="shared" si="35"/>
        <v>0</v>
      </c>
    </row>
    <row r="182" spans="1:8" x14ac:dyDescent="0.35">
      <c r="A182">
        <v>170</v>
      </c>
      <c r="B182">
        <f t="shared" si="30"/>
        <v>0</v>
      </c>
      <c r="C182">
        <f t="shared" si="31"/>
        <v>0</v>
      </c>
      <c r="D182">
        <f t="shared" si="32"/>
        <v>28894276746223.844</v>
      </c>
      <c r="E182">
        <f t="shared" si="33"/>
        <v>0</v>
      </c>
      <c r="F182">
        <f>SUMPRODUCT(($A$182:$A$212&lt;=$B$4)*($E$182:$E$212))</f>
        <v>0</v>
      </c>
      <c r="G182">
        <f t="shared" si="34"/>
        <v>0</v>
      </c>
      <c r="H182">
        <f t="shared" si="35"/>
        <v>0</v>
      </c>
    </row>
    <row r="183" spans="1:8" x14ac:dyDescent="0.35">
      <c r="A183">
        <v>171</v>
      </c>
      <c r="B183">
        <f t="shared" si="30"/>
        <v>0</v>
      </c>
      <c r="C183">
        <f t="shared" si="31"/>
        <v>0</v>
      </c>
      <c r="D183">
        <f t="shared" si="32"/>
        <v>34673132095468.605</v>
      </c>
      <c r="E183">
        <f t="shared" si="33"/>
        <v>0</v>
      </c>
      <c r="F183">
        <f>SUMPRODUCT(($A$183:$A$212&lt;=$B$4)*($E$183:$E$212))</f>
        <v>0</v>
      </c>
      <c r="G183">
        <f t="shared" si="34"/>
        <v>0</v>
      </c>
      <c r="H183">
        <f t="shared" si="35"/>
        <v>0</v>
      </c>
    </row>
    <row r="184" spans="1:8" x14ac:dyDescent="0.35">
      <c r="A184">
        <v>172</v>
      </c>
      <c r="B184">
        <f t="shared" si="30"/>
        <v>0</v>
      </c>
      <c r="C184">
        <f t="shared" si="31"/>
        <v>0</v>
      </c>
      <c r="D184">
        <f t="shared" si="32"/>
        <v>41607758514562.328</v>
      </c>
      <c r="E184">
        <f t="shared" si="33"/>
        <v>0</v>
      </c>
      <c r="F184">
        <f>SUMPRODUCT(($A$184:$A$212&lt;=$B$4)*($E$184:$E$212))</f>
        <v>0</v>
      </c>
      <c r="G184">
        <f t="shared" si="34"/>
        <v>0</v>
      </c>
      <c r="H184">
        <f t="shared" si="35"/>
        <v>0</v>
      </c>
    </row>
    <row r="185" spans="1:8" x14ac:dyDescent="0.35">
      <c r="A185">
        <v>173</v>
      </c>
      <c r="B185">
        <f t="shared" si="30"/>
        <v>0</v>
      </c>
      <c r="C185">
        <f t="shared" si="31"/>
        <v>0</v>
      </c>
      <c r="D185">
        <f t="shared" si="32"/>
        <v>49929310217474.797</v>
      </c>
      <c r="E185">
        <f t="shared" si="33"/>
        <v>0</v>
      </c>
      <c r="F185">
        <f>SUMPRODUCT(($A$185:$A$212&lt;=$B$4)*($E$185:$E$212))</f>
        <v>0</v>
      </c>
      <c r="G185">
        <f t="shared" si="34"/>
        <v>0</v>
      </c>
      <c r="H185">
        <f t="shared" si="35"/>
        <v>0</v>
      </c>
    </row>
    <row r="186" spans="1:8" x14ac:dyDescent="0.35">
      <c r="A186">
        <v>174</v>
      </c>
      <c r="B186">
        <f t="shared" si="30"/>
        <v>0</v>
      </c>
      <c r="C186">
        <f t="shared" si="31"/>
        <v>0</v>
      </c>
      <c r="D186">
        <f t="shared" si="32"/>
        <v>59915172260969.742</v>
      </c>
      <c r="E186">
        <f t="shared" si="33"/>
        <v>0</v>
      </c>
      <c r="F186">
        <f>SUMPRODUCT(($A$186:$A$212&lt;=$B$4)*($E$186:$E$212))</f>
        <v>0</v>
      </c>
      <c r="G186">
        <f t="shared" si="34"/>
        <v>0</v>
      </c>
      <c r="H186">
        <f t="shared" si="35"/>
        <v>0</v>
      </c>
    </row>
    <row r="187" spans="1:8" x14ac:dyDescent="0.35">
      <c r="A187">
        <v>175</v>
      </c>
      <c r="B187">
        <f t="shared" si="30"/>
        <v>0</v>
      </c>
      <c r="C187">
        <f t="shared" si="31"/>
        <v>0</v>
      </c>
      <c r="D187">
        <f t="shared" si="32"/>
        <v>71898206713163.703</v>
      </c>
      <c r="E187">
        <f t="shared" si="33"/>
        <v>0</v>
      </c>
      <c r="F187">
        <f>SUMPRODUCT(($A$187:$A$212&lt;=$B$4)*($E$187:$E$212))</f>
        <v>0</v>
      </c>
      <c r="G187">
        <f t="shared" si="34"/>
        <v>0</v>
      </c>
      <c r="H187">
        <f t="shared" si="35"/>
        <v>0</v>
      </c>
    </row>
    <row r="188" spans="1:8" x14ac:dyDescent="0.35">
      <c r="A188">
        <v>176</v>
      </c>
      <c r="B188">
        <f t="shared" si="30"/>
        <v>0</v>
      </c>
      <c r="C188">
        <f t="shared" si="31"/>
        <v>0</v>
      </c>
      <c r="D188">
        <f t="shared" si="32"/>
        <v>86277848055796.422</v>
      </c>
      <c r="E188">
        <f t="shared" si="33"/>
        <v>0</v>
      </c>
      <c r="F188">
        <f>SUMPRODUCT(($A$188:$A$212&lt;=$B$4)*($E$188:$E$212))</f>
        <v>0</v>
      </c>
      <c r="G188">
        <f t="shared" si="34"/>
        <v>0</v>
      </c>
      <c r="H188">
        <f t="shared" si="35"/>
        <v>0</v>
      </c>
    </row>
    <row r="189" spans="1:8" x14ac:dyDescent="0.35">
      <c r="A189">
        <v>177</v>
      </c>
      <c r="B189">
        <f t="shared" si="30"/>
        <v>0</v>
      </c>
      <c r="C189">
        <f t="shared" si="31"/>
        <v>0</v>
      </c>
      <c r="D189">
        <f t="shared" si="32"/>
        <v>103533417666955.72</v>
      </c>
      <c r="E189">
        <f t="shared" si="33"/>
        <v>0</v>
      </c>
      <c r="F189">
        <f>SUMPRODUCT(($A$189:$A$212&lt;=$B$4)*($E$189:$E$212))</f>
        <v>0</v>
      </c>
      <c r="G189">
        <f t="shared" si="34"/>
        <v>0</v>
      </c>
      <c r="H189">
        <f t="shared" si="35"/>
        <v>0</v>
      </c>
    </row>
    <row r="190" spans="1:8" x14ac:dyDescent="0.35">
      <c r="A190">
        <v>178</v>
      </c>
      <c r="B190">
        <f t="shared" si="30"/>
        <v>0</v>
      </c>
      <c r="C190">
        <f t="shared" si="31"/>
        <v>0</v>
      </c>
      <c r="D190">
        <f t="shared" si="32"/>
        <v>124240101200346.86</v>
      </c>
      <c r="E190">
        <f t="shared" si="33"/>
        <v>0</v>
      </c>
      <c r="F190">
        <f>SUMPRODUCT(($A$190:$A$212&lt;=$B$4)*($E$190:$E$212))</f>
        <v>0</v>
      </c>
      <c r="G190">
        <f t="shared" si="34"/>
        <v>0</v>
      </c>
      <c r="H190">
        <f t="shared" si="35"/>
        <v>0</v>
      </c>
    </row>
    <row r="191" spans="1:8" x14ac:dyDescent="0.35">
      <c r="A191">
        <v>179</v>
      </c>
      <c r="B191">
        <f t="shared" si="30"/>
        <v>0</v>
      </c>
      <c r="C191">
        <f t="shared" si="31"/>
        <v>0</v>
      </c>
      <c r="D191">
        <f t="shared" si="32"/>
        <v>149088121440416.22</v>
      </c>
      <c r="E191">
        <f t="shared" si="33"/>
        <v>0</v>
      </c>
      <c r="F191">
        <f>SUMPRODUCT(($A$191:$A$212&lt;=$B$4)*($E$191:$E$212))</f>
        <v>0</v>
      </c>
      <c r="G191">
        <f t="shared" si="34"/>
        <v>0</v>
      </c>
      <c r="H191">
        <f t="shared" si="35"/>
        <v>0</v>
      </c>
    </row>
    <row r="192" spans="1:8" x14ac:dyDescent="0.35">
      <c r="A192">
        <v>180</v>
      </c>
      <c r="B192">
        <f t="shared" si="30"/>
        <v>0</v>
      </c>
      <c r="C192">
        <f t="shared" si="31"/>
        <v>0</v>
      </c>
      <c r="D192">
        <f t="shared" si="32"/>
        <v>178905745728499.5</v>
      </c>
      <c r="E192">
        <f t="shared" si="33"/>
        <v>0</v>
      </c>
      <c r="F192">
        <f>SUMPRODUCT(($A$192:$A$212&lt;=$B$4)*($E$192:$E$212))</f>
        <v>0</v>
      </c>
      <c r="G192">
        <f t="shared" si="34"/>
        <v>0</v>
      </c>
      <c r="H192">
        <f t="shared" si="35"/>
        <v>0</v>
      </c>
    </row>
    <row r="193" spans="1:8" x14ac:dyDescent="0.35">
      <c r="A193">
        <v>181</v>
      </c>
      <c r="B193">
        <f t="shared" si="30"/>
        <v>0</v>
      </c>
      <c r="C193">
        <f t="shared" si="31"/>
        <v>0</v>
      </c>
      <c r="D193">
        <f t="shared" si="32"/>
        <v>214686894874199.34</v>
      </c>
      <c r="E193">
        <f t="shared" si="33"/>
        <v>0</v>
      </c>
      <c r="F193">
        <f>SUMPRODUCT(($A$193:$A$212&lt;=$B$4)*($E$193:$E$212))</f>
        <v>0</v>
      </c>
      <c r="G193">
        <f t="shared" si="34"/>
        <v>0</v>
      </c>
      <c r="H193">
        <f t="shared" si="35"/>
        <v>0</v>
      </c>
    </row>
    <row r="194" spans="1:8" x14ac:dyDescent="0.35">
      <c r="A194">
        <v>182</v>
      </c>
      <c r="B194">
        <f t="shared" si="30"/>
        <v>0</v>
      </c>
      <c r="C194">
        <f t="shared" si="31"/>
        <v>0</v>
      </c>
      <c r="D194">
        <f t="shared" si="32"/>
        <v>257624273849039.25</v>
      </c>
      <c r="E194">
        <f t="shared" si="33"/>
        <v>0</v>
      </c>
      <c r="F194">
        <f>SUMPRODUCT(($A$194:$A$212&lt;=$B$4)*($E$194:$E$212))</f>
        <v>0</v>
      </c>
      <c r="G194">
        <f t="shared" si="34"/>
        <v>0</v>
      </c>
      <c r="H194">
        <f t="shared" si="35"/>
        <v>0</v>
      </c>
    </row>
    <row r="195" spans="1:8" x14ac:dyDescent="0.35">
      <c r="A195">
        <v>183</v>
      </c>
      <c r="B195">
        <f t="shared" si="30"/>
        <v>0</v>
      </c>
      <c r="C195">
        <f t="shared" si="31"/>
        <v>0</v>
      </c>
      <c r="D195">
        <f t="shared" si="32"/>
        <v>309149128618847.06</v>
      </c>
      <c r="E195">
        <f t="shared" si="33"/>
        <v>0</v>
      </c>
      <c r="F195">
        <f>SUMPRODUCT(($A$195:$A$212&lt;=$B$4)*($E$195:$E$212))</f>
        <v>0</v>
      </c>
      <c r="G195">
        <f t="shared" si="34"/>
        <v>0</v>
      </c>
      <c r="H195">
        <f t="shared" si="35"/>
        <v>0</v>
      </c>
    </row>
    <row r="196" spans="1:8" x14ac:dyDescent="0.35">
      <c r="A196">
        <v>184</v>
      </c>
      <c r="B196">
        <f t="shared" si="30"/>
        <v>0</v>
      </c>
      <c r="C196">
        <f t="shared" si="31"/>
        <v>0</v>
      </c>
      <c r="D196">
        <f t="shared" si="32"/>
        <v>370978954342616.44</v>
      </c>
      <c r="E196">
        <f t="shared" si="33"/>
        <v>0</v>
      </c>
      <c r="F196">
        <f>SUMPRODUCT(($A$196:$A$212&lt;=$B$4)*($E$196:$E$212))</f>
        <v>0</v>
      </c>
      <c r="G196">
        <f t="shared" si="34"/>
        <v>0</v>
      </c>
      <c r="H196">
        <f t="shared" si="35"/>
        <v>0</v>
      </c>
    </row>
    <row r="197" spans="1:8" x14ac:dyDescent="0.35">
      <c r="A197">
        <v>185</v>
      </c>
      <c r="B197">
        <f t="shared" si="30"/>
        <v>0</v>
      </c>
      <c r="C197">
        <f t="shared" si="31"/>
        <v>0</v>
      </c>
      <c r="D197">
        <f t="shared" si="32"/>
        <v>445174745211139.81</v>
      </c>
      <c r="E197">
        <f t="shared" si="33"/>
        <v>0</v>
      </c>
      <c r="F197">
        <f>SUMPRODUCT(($A$197:$A$212&lt;=$B$4)*($E$197:$E$212))</f>
        <v>0</v>
      </c>
      <c r="G197">
        <f t="shared" si="34"/>
        <v>0</v>
      </c>
      <c r="H197">
        <f t="shared" si="35"/>
        <v>0</v>
      </c>
    </row>
    <row r="198" spans="1:8" x14ac:dyDescent="0.35">
      <c r="A198">
        <v>186</v>
      </c>
      <c r="B198">
        <f t="shared" si="30"/>
        <v>0</v>
      </c>
      <c r="C198">
        <f t="shared" si="31"/>
        <v>0</v>
      </c>
      <c r="D198">
        <f t="shared" si="32"/>
        <v>534209694253367.69</v>
      </c>
      <c r="E198">
        <f t="shared" si="33"/>
        <v>0</v>
      </c>
      <c r="F198">
        <f>SUMPRODUCT(($A$198:$A$212&lt;=$B$4)*($E$198:$E$212))</f>
        <v>0</v>
      </c>
      <c r="G198">
        <f t="shared" si="34"/>
        <v>0</v>
      </c>
      <c r="H198">
        <f t="shared" si="35"/>
        <v>0</v>
      </c>
    </row>
    <row r="199" spans="1:8" x14ac:dyDescent="0.35">
      <c r="A199">
        <v>187</v>
      </c>
      <c r="B199">
        <f t="shared" si="30"/>
        <v>0</v>
      </c>
      <c r="C199">
        <f t="shared" si="31"/>
        <v>0</v>
      </c>
      <c r="D199">
        <f t="shared" si="32"/>
        <v>641051633104041.25</v>
      </c>
      <c r="E199">
        <f t="shared" si="33"/>
        <v>0</v>
      </c>
      <c r="F199">
        <f>SUMPRODUCT(($A$199:$A$212&lt;=$B$4)*($E$199:$E$212))</f>
        <v>0</v>
      </c>
      <c r="G199">
        <f t="shared" si="34"/>
        <v>0</v>
      </c>
      <c r="H199">
        <f t="shared" si="35"/>
        <v>0</v>
      </c>
    </row>
    <row r="200" spans="1:8" x14ac:dyDescent="0.35">
      <c r="A200">
        <v>188</v>
      </c>
      <c r="B200">
        <f t="shared" si="30"/>
        <v>0</v>
      </c>
      <c r="C200">
        <f t="shared" si="31"/>
        <v>0</v>
      </c>
      <c r="D200">
        <f t="shared" si="32"/>
        <v>769261959724849.5</v>
      </c>
      <c r="E200">
        <f t="shared" si="33"/>
        <v>0</v>
      </c>
      <c r="F200">
        <f>SUMPRODUCT(($A$200:$A$212&lt;=$B$4)*($E$200:$E$212))</f>
        <v>0</v>
      </c>
      <c r="G200">
        <f t="shared" si="34"/>
        <v>0</v>
      </c>
      <c r="H200">
        <f t="shared" si="35"/>
        <v>0</v>
      </c>
    </row>
    <row r="201" spans="1:8" x14ac:dyDescent="0.35">
      <c r="A201">
        <v>189</v>
      </c>
      <c r="B201">
        <f t="shared" si="30"/>
        <v>0</v>
      </c>
      <c r="C201">
        <f t="shared" si="31"/>
        <v>0</v>
      </c>
      <c r="D201">
        <f t="shared" si="32"/>
        <v>923114351669819.38</v>
      </c>
      <c r="E201">
        <f t="shared" si="33"/>
        <v>0</v>
      </c>
      <c r="F201">
        <f>SUMPRODUCT(($A$201:$A$212&lt;=$B$4)*($E$201:$E$212))</f>
        <v>0</v>
      </c>
      <c r="G201">
        <f t="shared" si="34"/>
        <v>0</v>
      </c>
      <c r="H201">
        <f t="shared" si="35"/>
        <v>0</v>
      </c>
    </row>
    <row r="202" spans="1:8" x14ac:dyDescent="0.35">
      <c r="A202">
        <v>190</v>
      </c>
      <c r="B202">
        <f t="shared" si="30"/>
        <v>0</v>
      </c>
      <c r="C202">
        <f t="shared" si="31"/>
        <v>0</v>
      </c>
      <c r="D202">
        <f t="shared" si="32"/>
        <v>1107737222003783.1</v>
      </c>
      <c r="E202">
        <f t="shared" si="33"/>
        <v>0</v>
      </c>
      <c r="F202">
        <f>SUMPRODUCT(($A$202:$A$212&lt;=$B$4)*($E$202:$E$212))</f>
        <v>0</v>
      </c>
      <c r="G202">
        <f t="shared" si="34"/>
        <v>0</v>
      </c>
      <c r="H202">
        <f t="shared" si="35"/>
        <v>0</v>
      </c>
    </row>
    <row r="203" spans="1:8" x14ac:dyDescent="0.35">
      <c r="A203">
        <v>191</v>
      </c>
      <c r="B203">
        <f t="shared" si="30"/>
        <v>0</v>
      </c>
      <c r="C203">
        <f t="shared" si="31"/>
        <v>0</v>
      </c>
      <c r="D203">
        <f t="shared" si="32"/>
        <v>1329284666404539.8</v>
      </c>
      <c r="E203">
        <f t="shared" si="33"/>
        <v>0</v>
      </c>
      <c r="F203">
        <f>SUMPRODUCT(($A$203:$A$212&lt;=$B$4)*($E$203:$E$212))</f>
        <v>0</v>
      </c>
      <c r="G203">
        <f t="shared" si="34"/>
        <v>0</v>
      </c>
      <c r="H203">
        <f t="shared" si="35"/>
        <v>0</v>
      </c>
    </row>
    <row r="204" spans="1:8" x14ac:dyDescent="0.35">
      <c r="A204">
        <v>192</v>
      </c>
      <c r="B204">
        <f t="shared" si="30"/>
        <v>0</v>
      </c>
      <c r="C204">
        <f t="shared" si="31"/>
        <v>0</v>
      </c>
      <c r="D204">
        <f t="shared" si="32"/>
        <v>1595141599685447.5</v>
      </c>
      <c r="E204">
        <f t="shared" si="33"/>
        <v>0</v>
      </c>
      <c r="F204">
        <f>SUMPRODUCT(($A$204:$A$212&lt;=$B$4)*($E$204:$E$212))</f>
        <v>0</v>
      </c>
      <c r="G204">
        <f t="shared" si="34"/>
        <v>0</v>
      </c>
      <c r="H204">
        <f t="shared" si="35"/>
        <v>0</v>
      </c>
    </row>
    <row r="205" spans="1:8" x14ac:dyDescent="0.35">
      <c r="A205">
        <v>193</v>
      </c>
      <c r="B205">
        <f t="shared" ref="B205:B212" si="36">IF(A205&lt;=$B$4,PRODUCT(1+IF($D$4:$D$50&lt;=A205,$F$4:$F$50,0)),0)</f>
        <v>0</v>
      </c>
      <c r="C205">
        <f t="shared" ref="C205:C212" si="37">IF(A205&lt;=$B$4,$B$3*B205,0)</f>
        <v>0</v>
      </c>
      <c r="D205">
        <f t="shared" ref="D205:D212" si="38">(1+$B$5)^A205</f>
        <v>1914169919622536.8</v>
      </c>
      <c r="E205">
        <f t="shared" ref="E205:E212" si="39">IF(A205&lt;=$B$4,C205/D205,0)</f>
        <v>0</v>
      </c>
      <c r="F205">
        <f>SUMPRODUCT(($A$205:$A$212&lt;=$B$4)*($E$205:$E$212))</f>
        <v>0</v>
      </c>
      <c r="G205">
        <f t="shared" ref="G205:G212" si="40">F205*$B$5</f>
        <v>0</v>
      </c>
      <c r="H205">
        <f t="shared" ref="H205:H212" si="41">F205+G205-C205</f>
        <v>0</v>
      </c>
    </row>
    <row r="206" spans="1:8" x14ac:dyDescent="0.35">
      <c r="A206">
        <v>194</v>
      </c>
      <c r="B206">
        <f t="shared" si="36"/>
        <v>0</v>
      </c>
      <c r="C206">
        <f t="shared" si="37"/>
        <v>0</v>
      </c>
      <c r="D206">
        <f t="shared" si="38"/>
        <v>2297003903547044.5</v>
      </c>
      <c r="E206">
        <f t="shared" si="39"/>
        <v>0</v>
      </c>
      <c r="F206">
        <f>SUMPRODUCT(($A$206:$A$212&lt;=$B$4)*($E$206:$E$212))</f>
        <v>0</v>
      </c>
      <c r="G206">
        <f t="shared" si="40"/>
        <v>0</v>
      </c>
      <c r="H206">
        <f t="shared" si="41"/>
        <v>0</v>
      </c>
    </row>
    <row r="207" spans="1:8" x14ac:dyDescent="0.35">
      <c r="A207">
        <v>195</v>
      </c>
      <c r="B207">
        <f t="shared" si="36"/>
        <v>0</v>
      </c>
      <c r="C207">
        <f t="shared" si="37"/>
        <v>0</v>
      </c>
      <c r="D207">
        <f t="shared" si="38"/>
        <v>2756404684256453.5</v>
      </c>
      <c r="E207">
        <f t="shared" si="39"/>
        <v>0</v>
      </c>
      <c r="F207">
        <f>SUMPRODUCT(($A$207:$A$212&lt;=$B$4)*($E$207:$E$212))</f>
        <v>0</v>
      </c>
      <c r="G207">
        <f t="shared" si="40"/>
        <v>0</v>
      </c>
      <c r="H207">
        <f t="shared" si="41"/>
        <v>0</v>
      </c>
    </row>
    <row r="208" spans="1:8" x14ac:dyDescent="0.35">
      <c r="A208">
        <v>196</v>
      </c>
      <c r="B208">
        <f t="shared" si="36"/>
        <v>0</v>
      </c>
      <c r="C208">
        <f t="shared" si="37"/>
        <v>0</v>
      </c>
      <c r="D208">
        <f t="shared" si="38"/>
        <v>3307685621107744</v>
      </c>
      <c r="E208">
        <f t="shared" si="39"/>
        <v>0</v>
      </c>
      <c r="F208">
        <f>SUMPRODUCT(($A$208:$A$212&lt;=$B$4)*($E$208:$E$212))</f>
        <v>0</v>
      </c>
      <c r="G208">
        <f t="shared" si="40"/>
        <v>0</v>
      </c>
      <c r="H208">
        <f t="shared" si="41"/>
        <v>0</v>
      </c>
    </row>
    <row r="209" spans="1:8" x14ac:dyDescent="0.35">
      <c r="A209">
        <v>197</v>
      </c>
      <c r="B209">
        <f t="shared" si="36"/>
        <v>0</v>
      </c>
      <c r="C209">
        <f t="shared" si="37"/>
        <v>0</v>
      </c>
      <c r="D209">
        <f t="shared" si="38"/>
        <v>3969222745329292.5</v>
      </c>
      <c r="E209">
        <f t="shared" si="39"/>
        <v>0</v>
      </c>
      <c r="F209">
        <f>SUMPRODUCT(($A$209:$A$212&lt;=$B$4)*($E$209:$E$212))</f>
        <v>0</v>
      </c>
      <c r="G209">
        <f t="shared" si="40"/>
        <v>0</v>
      </c>
      <c r="H209">
        <f t="shared" si="41"/>
        <v>0</v>
      </c>
    </row>
    <row r="210" spans="1:8" x14ac:dyDescent="0.35">
      <c r="A210">
        <v>198</v>
      </c>
      <c r="B210">
        <f t="shared" si="36"/>
        <v>0</v>
      </c>
      <c r="C210">
        <f t="shared" si="37"/>
        <v>0</v>
      </c>
      <c r="D210">
        <f t="shared" si="38"/>
        <v>4763067294395151</v>
      </c>
      <c r="E210">
        <f t="shared" si="39"/>
        <v>0</v>
      </c>
      <c r="F210">
        <f>SUMPRODUCT(($A$210:$A$212&lt;=$B$4)*($E$210:$E$212))</f>
        <v>0</v>
      </c>
      <c r="G210">
        <f t="shared" si="40"/>
        <v>0</v>
      </c>
      <c r="H210">
        <f t="shared" si="41"/>
        <v>0</v>
      </c>
    </row>
    <row r="211" spans="1:8" x14ac:dyDescent="0.35">
      <c r="A211">
        <v>199</v>
      </c>
      <c r="B211">
        <f t="shared" si="36"/>
        <v>0</v>
      </c>
      <c r="C211">
        <f t="shared" si="37"/>
        <v>0</v>
      </c>
      <c r="D211">
        <f t="shared" si="38"/>
        <v>5715680753274181</v>
      </c>
      <c r="E211">
        <f t="shared" si="39"/>
        <v>0</v>
      </c>
      <c r="F211">
        <f>SUMPRODUCT(($A$211:$A$212&lt;=$B$4)*($E$211:$E$212))</f>
        <v>0</v>
      </c>
      <c r="G211">
        <f t="shared" si="40"/>
        <v>0</v>
      </c>
      <c r="H211">
        <f t="shared" si="41"/>
        <v>0</v>
      </c>
    </row>
    <row r="212" spans="1:8" x14ac:dyDescent="0.35">
      <c r="A212">
        <v>200</v>
      </c>
      <c r="B212">
        <f t="shared" si="36"/>
        <v>0</v>
      </c>
      <c r="C212">
        <f t="shared" si="37"/>
        <v>0</v>
      </c>
      <c r="D212">
        <f t="shared" si="38"/>
        <v>6858816903929017</v>
      </c>
      <c r="E212">
        <f t="shared" si="39"/>
        <v>0</v>
      </c>
      <c r="F212">
        <f>SUMPRODUCT(($A$212:$A$212&lt;=$B$4)*($E$212:$E$212))</f>
        <v>0</v>
      </c>
      <c r="G212">
        <f t="shared" si="40"/>
        <v>0</v>
      </c>
      <c r="H212">
        <f t="shared" si="41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E46A-3057-4E3A-A26F-F39476BEDD20}">
  <dimension ref="A1:H220"/>
  <sheetViews>
    <sheetView tabSelected="1" topLeftCell="A209" zoomScale="87" workbookViewId="0">
      <selection activeCell="G21" sqref="G21"/>
    </sheetView>
  </sheetViews>
  <sheetFormatPr defaultRowHeight="14.5" x14ac:dyDescent="0.35"/>
  <cols>
    <col min="1" max="1" width="44.54296875" bestFit="1" customWidth="1"/>
    <col min="2" max="2" width="13.1796875" bestFit="1" customWidth="1"/>
    <col min="3" max="3" width="82.26953125" bestFit="1" customWidth="1"/>
    <col min="4" max="4" width="10.90625" bestFit="1" customWidth="1"/>
    <col min="5" max="5" width="10" bestFit="1" customWidth="1"/>
    <col min="7" max="7" width="11" bestFit="1" customWidth="1"/>
    <col min="8" max="8" width="10.453125" bestFit="1" customWidth="1"/>
  </cols>
  <sheetData>
    <row r="1" spans="1:8" x14ac:dyDescent="0.35">
      <c r="A1" t="s">
        <v>16</v>
      </c>
    </row>
    <row r="2" spans="1:8" x14ac:dyDescent="0.35">
      <c r="A2" t="s">
        <v>17</v>
      </c>
    </row>
    <row r="4" spans="1:8" x14ac:dyDescent="0.35">
      <c r="A4" t="s">
        <v>18</v>
      </c>
    </row>
    <row r="5" spans="1:8" x14ac:dyDescent="0.35">
      <c r="A5" t="s">
        <v>19</v>
      </c>
      <c r="H5" s="4"/>
    </row>
    <row r="6" spans="1:8" ht="16.5" x14ac:dyDescent="0.45">
      <c r="A6" t="s">
        <v>20</v>
      </c>
      <c r="B6" s="7">
        <v>45292</v>
      </c>
      <c r="H6" s="4"/>
    </row>
    <row r="7" spans="1:8" x14ac:dyDescent="0.35">
      <c r="A7" t="s">
        <v>21</v>
      </c>
      <c r="B7" s="1">
        <v>10000</v>
      </c>
      <c r="H7" s="4"/>
    </row>
    <row r="8" spans="1:8" x14ac:dyDescent="0.35">
      <c r="A8" t="s">
        <v>22</v>
      </c>
      <c r="B8" s="2">
        <v>0.15</v>
      </c>
    </row>
    <row r="9" spans="1:8" x14ac:dyDescent="0.35">
      <c r="A9" t="s">
        <v>23</v>
      </c>
      <c r="B9">
        <v>200</v>
      </c>
    </row>
    <row r="10" spans="1:8" x14ac:dyDescent="0.35">
      <c r="H10" s="3"/>
    </row>
    <row r="11" spans="1:8" x14ac:dyDescent="0.35">
      <c r="A11" t="s">
        <v>24</v>
      </c>
      <c r="E11" s="4"/>
    </row>
    <row r="12" spans="1:8" x14ac:dyDescent="0.35">
      <c r="A12" t="s">
        <v>25</v>
      </c>
    </row>
    <row r="13" spans="1:8" x14ac:dyDescent="0.35">
      <c r="A13" t="s">
        <v>26</v>
      </c>
      <c r="B13" t="s">
        <v>27</v>
      </c>
      <c r="C13" t="s">
        <v>28</v>
      </c>
      <c r="E13" s="4"/>
    </row>
    <row r="14" spans="1:8" x14ac:dyDescent="0.35">
      <c r="A14">
        <v>1</v>
      </c>
      <c r="B14">
        <v>5</v>
      </c>
      <c r="C14" s="8">
        <v>0</v>
      </c>
      <c r="F14" s="4"/>
    </row>
    <row r="15" spans="1:8" x14ac:dyDescent="0.35">
      <c r="A15">
        <v>6</v>
      </c>
      <c r="B15">
        <v>10</v>
      </c>
      <c r="C15" s="9">
        <v>0.03</v>
      </c>
      <c r="F15" s="4"/>
    </row>
    <row r="16" spans="1:8" x14ac:dyDescent="0.35">
      <c r="A16">
        <v>11</v>
      </c>
      <c r="B16">
        <v>200</v>
      </c>
      <c r="C16" s="9">
        <v>0.05</v>
      </c>
    </row>
    <row r="18" spans="1:8" x14ac:dyDescent="0.35">
      <c r="A18" t="s">
        <v>29</v>
      </c>
    </row>
    <row r="19" spans="1:8" x14ac:dyDescent="0.35">
      <c r="A19" t="s">
        <v>30</v>
      </c>
    </row>
    <row r="20" spans="1:8" x14ac:dyDescent="0.35">
      <c r="A20" t="s">
        <v>8</v>
      </c>
      <c r="B20" t="s">
        <v>31</v>
      </c>
      <c r="C20" t="s">
        <v>35</v>
      </c>
      <c r="D20" t="s">
        <v>32</v>
      </c>
      <c r="E20" t="s">
        <v>14</v>
      </c>
      <c r="F20" t="s">
        <v>33</v>
      </c>
      <c r="G20" t="s">
        <v>34</v>
      </c>
    </row>
    <row r="21" spans="1:8" x14ac:dyDescent="0.35">
      <c r="A21" s="5">
        <f>IF(ROW()-20&lt;=$B$9, ROW()-20, "")</f>
        <v>1</v>
      </c>
      <c r="B21" s="6">
        <f>IF(A21="", "", DATE(YEAR($B$6)+A21-1, 12, 31))</f>
        <v>45657</v>
      </c>
      <c r="C21" s="10" cm="1">
        <f t="array" ref="C21">IF(A21="", "",
   IF(A21=1,
      SUMPRODUCT($D$21:INDEX($D:$D, 20+$B$9)/(1+$B$8)^$A$21:INDEX($A:$A, 20+$B$9)),
      G20
   )
)</f>
        <v>67990.599745375119</v>
      </c>
      <c r="D21" s="4">
        <f>IF($A21="", "", $B$7 * (1 + $H21))</f>
        <v>10000</v>
      </c>
      <c r="E21" s="11">
        <f>IF($A21="", "", $C21*$B$8)</f>
        <v>10198.589961806267</v>
      </c>
      <c r="F21" s="11">
        <f>IF($A21="", "", $D21-$E21)</f>
        <v>-198.58996180626673</v>
      </c>
      <c r="G21" s="11">
        <f>IF($A21="", "", $C21-$F21)</f>
        <v>68189.189707181387</v>
      </c>
      <c r="H21" s="12"/>
    </row>
    <row r="22" spans="1:8" x14ac:dyDescent="0.35">
      <c r="A22" s="5">
        <f t="shared" ref="A22:A85" si="0">IF(ROW()-20&lt;=$B$9, ROW()-20, "")</f>
        <v>2</v>
      </c>
      <c r="B22" s="6">
        <f t="shared" ref="B22:B85" si="1">IF(A22="", "", DATE(YEAR($B$6)+A22-1, 12, 31))</f>
        <v>46022</v>
      </c>
      <c r="C22" s="10" cm="1">
        <f t="array" ref="C22">IF(A22="", "",
   IF(A22=1,
      SUMPRODUCT($D$21:INDEX($D:$D, 20+$B$9)/(1+$B$8)^$A$21:INDEX($A:$A, 20+$B$9)),
      G21
   )
)</f>
        <v>68189.189707181387</v>
      </c>
      <c r="D22" s="4">
        <f t="array" ref="D22">IF($A22="", "",
   $B$7 *
   (1 + LOOKUP($A22, {1,6,11}, {0,0.03,0.05}))
)</f>
        <v>10000</v>
      </c>
      <c r="E22" s="11">
        <f t="shared" ref="E22:E85" si="2">IF($A22="", "", $C22*$B$8)</f>
        <v>10228.378456077207</v>
      </c>
      <c r="F22" s="11">
        <f t="shared" ref="F22:F85" si="3">IF($A22="", "", $D22-$E22)</f>
        <v>-228.37845607720737</v>
      </c>
      <c r="G22" s="11">
        <f t="shared" ref="G22:G85" si="4">IF($A22="", "", $C22-$F22)</f>
        <v>68417.568163258591</v>
      </c>
      <c r="H22" s="12"/>
    </row>
    <row r="23" spans="1:8" x14ac:dyDescent="0.35">
      <c r="A23" s="5">
        <f t="shared" si="0"/>
        <v>3</v>
      </c>
      <c r="B23" s="6">
        <f t="shared" si="1"/>
        <v>46387</v>
      </c>
      <c r="C23" s="10" cm="1">
        <f t="array" ref="C23">IF(A23="", "",
   IF(A23=1,
      SUMPRODUCT($D$21:INDEX($D:$D, 20+$B$9)/(1+$B$8)^$A$21:INDEX($A:$A, 20+$B$9)),
      G22
   )
)</f>
        <v>68417.568163258591</v>
      </c>
      <c r="D23" s="4">
        <f t="array" ref="D23">IF($A23="", "",
   $B$7 *
   (1 + LOOKUP($A23, {1,6,11}, {0,0.03,0.05}))
)</f>
        <v>10000</v>
      </c>
      <c r="E23" s="11">
        <f t="shared" si="2"/>
        <v>10262.635224488788</v>
      </c>
      <c r="F23" s="11">
        <f t="shared" si="3"/>
        <v>-262.63522448878757</v>
      </c>
      <c r="G23" s="11">
        <f t="shared" si="4"/>
        <v>68680.203387747373</v>
      </c>
      <c r="H23" s="12"/>
    </row>
    <row r="24" spans="1:8" x14ac:dyDescent="0.35">
      <c r="A24" s="5">
        <f t="shared" si="0"/>
        <v>4</v>
      </c>
      <c r="B24" s="6">
        <f t="shared" si="1"/>
        <v>46752</v>
      </c>
      <c r="C24" s="10" cm="1">
        <f t="array" ref="C24">IF(A24="", "",
   IF(A24=1,
      SUMPRODUCT($D$21:INDEX($D:$D, 20+$B$9)/(1+$B$8)^$A$21:INDEX($A:$A, 20+$B$9)),
      G23
   )
)</f>
        <v>68680.203387747373</v>
      </c>
      <c r="D24" s="4">
        <f t="array" ref="D24">IF($A24="", "",
   $B$7 *
   (1 + LOOKUP($A24, {1,6,11}, {0,0.03,0.05}))
)</f>
        <v>10000</v>
      </c>
      <c r="E24" s="11">
        <f t="shared" si="2"/>
        <v>10302.030508162106</v>
      </c>
      <c r="F24" s="11">
        <f t="shared" si="3"/>
        <v>-302.03050816210634</v>
      </c>
      <c r="G24" s="11">
        <f t="shared" si="4"/>
        <v>68982.233895909478</v>
      </c>
      <c r="H24" s="12"/>
    </row>
    <row r="25" spans="1:8" x14ac:dyDescent="0.35">
      <c r="A25" s="5">
        <f t="shared" si="0"/>
        <v>5</v>
      </c>
      <c r="B25" s="6">
        <f t="shared" si="1"/>
        <v>47118</v>
      </c>
      <c r="C25" s="10" cm="1">
        <f t="array" ref="C25">IF(A25="", "",
   IF(A25=1,
      SUMPRODUCT($D$21:INDEX($D:$D, 20+$B$9)/(1+$B$8)^$A$21:INDEX($A:$A, 20+$B$9)),
      G24
   )
)</f>
        <v>68982.233895909478</v>
      </c>
      <c r="D25" s="4">
        <f t="array" ref="D25">IF($A25="", "",
   $B$7 *
   (1 + LOOKUP($A25, {1,6,11}, {0,0.03,0.05}))
)</f>
        <v>10000</v>
      </c>
      <c r="E25" s="11">
        <f t="shared" si="2"/>
        <v>10347.335084386421</v>
      </c>
      <c r="F25" s="11">
        <f t="shared" si="3"/>
        <v>-347.33508438642093</v>
      </c>
      <c r="G25" s="11">
        <f t="shared" si="4"/>
        <v>69329.568980295895</v>
      </c>
      <c r="H25" s="12"/>
    </row>
    <row r="26" spans="1:8" x14ac:dyDescent="0.35">
      <c r="A26" s="5">
        <f t="shared" si="0"/>
        <v>6</v>
      </c>
      <c r="B26" s="6">
        <f t="shared" si="1"/>
        <v>47483</v>
      </c>
      <c r="C26" s="10" cm="1">
        <f t="array" ref="C26">IF(A26="", "",
   IF(A26=1,
      SUMPRODUCT($D$21:INDEX($D:$D, 20+$B$9)/(1+$B$8)^$A$21:INDEX($A:$A, 20+$B$9)),
      G25
   )
)</f>
        <v>69329.568980295895</v>
      </c>
      <c r="D26" s="4">
        <f t="array" ref="D26">IF($A26="", "",
   $B$7 *
   (1 + LOOKUP($A26, {1,6,11}, {0,0.03,0.05}))
)</f>
        <v>10300</v>
      </c>
      <c r="E26" s="11">
        <f t="shared" si="2"/>
        <v>10399.435347044384</v>
      </c>
      <c r="F26" s="11">
        <f t="shared" si="3"/>
        <v>-99.435347044383889</v>
      </c>
      <c r="G26" s="11">
        <f t="shared" si="4"/>
        <v>69429.004327340284</v>
      </c>
      <c r="H26" s="12"/>
    </row>
    <row r="27" spans="1:8" x14ac:dyDescent="0.35">
      <c r="A27" s="5">
        <f t="shared" si="0"/>
        <v>7</v>
      </c>
      <c r="B27" s="6">
        <f t="shared" si="1"/>
        <v>47848</v>
      </c>
      <c r="C27" s="10" cm="1">
        <f t="array" ref="C27">IF(A27="", "",
   IF(A27=1,
      SUMPRODUCT($D$21:INDEX($D:$D, 20+$B$9)/(1+$B$8)^$A$21:INDEX($A:$A, 20+$B$9)),
      G26
   )
)</f>
        <v>69429.004327340284</v>
      </c>
      <c r="D27" s="4">
        <f t="array" ref="D27">IF($A27="", "",
   $B$7 *
   (1 + LOOKUP($A27, {1,6,11}, {0,0.03,0.05}))
)</f>
        <v>10300</v>
      </c>
      <c r="E27" s="11">
        <f t="shared" si="2"/>
        <v>10414.350649101043</v>
      </c>
      <c r="F27" s="11">
        <f t="shared" si="3"/>
        <v>-114.35064910104302</v>
      </c>
      <c r="G27" s="11">
        <f t="shared" si="4"/>
        <v>69543.354976441333</v>
      </c>
      <c r="H27" s="12"/>
    </row>
    <row r="28" spans="1:8" x14ac:dyDescent="0.35">
      <c r="A28" s="5">
        <f t="shared" si="0"/>
        <v>8</v>
      </c>
      <c r="B28" s="6">
        <f t="shared" si="1"/>
        <v>48213</v>
      </c>
      <c r="C28" s="10" cm="1">
        <f t="array" ref="C28">IF(A28="", "",
   IF(A28=1,
      SUMPRODUCT($D$21:INDEX($D:$D, 20+$B$9)/(1+$B$8)^$A$21:INDEX($A:$A, 20+$B$9)),
      G27
   )
)</f>
        <v>69543.354976441333</v>
      </c>
      <c r="D28" s="4">
        <f t="array" ref="D28">IF($A28="", "",
   $B$7 *
   (1 + LOOKUP($A28, {1,6,11}, {0,0.03,0.05}))
)</f>
        <v>10300</v>
      </c>
      <c r="E28" s="11">
        <f t="shared" si="2"/>
        <v>10431.5032464662</v>
      </c>
      <c r="F28" s="11">
        <f t="shared" si="3"/>
        <v>-131.50324646619993</v>
      </c>
      <c r="G28" s="11">
        <f t="shared" si="4"/>
        <v>69674.858222907525</v>
      </c>
      <c r="H28" s="12"/>
    </row>
    <row r="29" spans="1:8" x14ac:dyDescent="0.35">
      <c r="A29" s="5">
        <f t="shared" si="0"/>
        <v>9</v>
      </c>
      <c r="B29" s="6">
        <f t="shared" si="1"/>
        <v>48579</v>
      </c>
      <c r="C29" s="10" cm="1">
        <f t="array" ref="C29">IF(A29="", "",
   IF(A29=1,
      SUMPRODUCT($D$21:INDEX($D:$D, 20+$B$9)/(1+$B$8)^$A$21:INDEX($A:$A, 20+$B$9)),
      G28
   )
)</f>
        <v>69674.858222907525</v>
      </c>
      <c r="D29" s="4">
        <f t="array" ref="D29">IF($A29="", "",
   $B$7 *
   (1 + LOOKUP($A29, {1,6,11}, {0,0.03,0.05}))
)</f>
        <v>10300</v>
      </c>
      <c r="E29" s="11">
        <f t="shared" si="2"/>
        <v>10451.228733436128</v>
      </c>
      <c r="F29" s="11">
        <f t="shared" si="3"/>
        <v>-151.2287334361281</v>
      </c>
      <c r="G29" s="11">
        <f t="shared" si="4"/>
        <v>69826.086956343657</v>
      </c>
      <c r="H29" s="12"/>
    </row>
    <row r="30" spans="1:8" x14ac:dyDescent="0.35">
      <c r="A30" s="5">
        <f t="shared" si="0"/>
        <v>10</v>
      </c>
      <c r="B30" s="6">
        <f t="shared" si="1"/>
        <v>48944</v>
      </c>
      <c r="C30" s="10" cm="1">
        <f t="array" ref="C30">IF(A30="", "",
   IF(A30=1,
      SUMPRODUCT($D$21:INDEX($D:$D, 20+$B$9)/(1+$B$8)^$A$21:INDEX($A:$A, 20+$B$9)),
      G29
   )
)</f>
        <v>69826.086956343657</v>
      </c>
      <c r="D30" s="4">
        <f t="array" ref="D30">IF($A30="", "",
   $B$7 *
   (1 + LOOKUP($A30, {1,6,11}, {0,0.03,0.05}))
)</f>
        <v>10300</v>
      </c>
      <c r="E30" s="11">
        <f t="shared" si="2"/>
        <v>10473.913043451548</v>
      </c>
      <c r="F30" s="11">
        <f t="shared" si="3"/>
        <v>-173.91304345154822</v>
      </c>
      <c r="G30" s="11">
        <f t="shared" si="4"/>
        <v>69999.999999795211</v>
      </c>
      <c r="H30" s="12"/>
    </row>
    <row r="31" spans="1:8" x14ac:dyDescent="0.35">
      <c r="A31" s="5">
        <f t="shared" si="0"/>
        <v>11</v>
      </c>
      <c r="B31" s="6">
        <f t="shared" si="1"/>
        <v>49309</v>
      </c>
      <c r="C31" s="10" cm="1">
        <f t="array" ref="C31">IF(A31="", "",
   IF(A31=1,
      SUMPRODUCT($D$21:INDEX($D:$D, 20+$B$9)/(1+$B$8)^$A$21:INDEX($A:$A, 20+$B$9)),
      G30
   )
)</f>
        <v>69999.999999795211</v>
      </c>
      <c r="D31" s="4">
        <f t="array" ref="D31">IF($A31="", "",
   $B$7 *
   (1 + LOOKUP($A31, {1,6,11}, {0,0.03,0.05}))
)</f>
        <v>10500</v>
      </c>
      <c r="E31" s="11">
        <f t="shared" si="2"/>
        <v>10499.999999969281</v>
      </c>
      <c r="F31" s="11">
        <f t="shared" si="3"/>
        <v>3.0719093047082424E-8</v>
      </c>
      <c r="G31" s="11">
        <f t="shared" si="4"/>
        <v>69999.999999764492</v>
      </c>
      <c r="H31" s="12"/>
    </row>
    <row r="32" spans="1:8" x14ac:dyDescent="0.35">
      <c r="A32" s="5">
        <f t="shared" si="0"/>
        <v>12</v>
      </c>
      <c r="B32" s="6">
        <f t="shared" si="1"/>
        <v>49674</v>
      </c>
      <c r="C32" s="10" cm="1">
        <f t="array" ref="C32">IF(A32="", "",
   IF(A32=1,
      SUMPRODUCT($D$21:INDEX($D:$D, 20+$B$9)/(1+$B$8)^$A$21:INDEX($A:$A, 20+$B$9)),
      G31
   )
)</f>
        <v>69999.999999764492</v>
      </c>
      <c r="D32" s="4">
        <f t="array" ref="D32">IF($A32="", "",
   $B$7 *
   (1 + LOOKUP($A32, {1,6,11}, {0,0.03,0.05}))
)</f>
        <v>10500</v>
      </c>
      <c r="E32" s="11">
        <f t="shared" si="2"/>
        <v>10499.999999964673</v>
      </c>
      <c r="F32" s="11">
        <f t="shared" si="3"/>
        <v>3.5326593206264079E-8</v>
      </c>
      <c r="G32" s="11">
        <f t="shared" si="4"/>
        <v>69999.99999972916</v>
      </c>
      <c r="H32" s="12"/>
    </row>
    <row r="33" spans="1:8" x14ac:dyDescent="0.35">
      <c r="A33" s="5">
        <f t="shared" si="0"/>
        <v>13</v>
      </c>
      <c r="B33" s="6">
        <f t="shared" si="1"/>
        <v>50040</v>
      </c>
      <c r="C33" s="10" cm="1">
        <f t="array" ref="C33">IF(A33="", "",
   IF(A33=1,
      SUMPRODUCT($D$21:INDEX($D:$D, 20+$B$9)/(1+$B$8)^$A$21:INDEX($A:$A, 20+$B$9)),
      G32
   )
)</f>
        <v>69999.99999972916</v>
      </c>
      <c r="D33" s="4">
        <f t="array" ref="D33">IF($A33="", "",
   $B$7 *
   (1 + LOOKUP($A33, {1,6,11}, {0,0.03,0.05}))
)</f>
        <v>10500</v>
      </c>
      <c r="E33" s="11">
        <f t="shared" si="2"/>
        <v>10499.999999959373</v>
      </c>
      <c r="F33" s="11">
        <f t="shared" si="3"/>
        <v>4.0627128328196704E-8</v>
      </c>
      <c r="G33" s="11">
        <f t="shared" si="4"/>
        <v>69999.999999688531</v>
      </c>
      <c r="H33" s="12"/>
    </row>
    <row r="34" spans="1:8" x14ac:dyDescent="0.35">
      <c r="A34" s="5">
        <f t="shared" si="0"/>
        <v>14</v>
      </c>
      <c r="B34" s="6">
        <f t="shared" si="1"/>
        <v>50405</v>
      </c>
      <c r="C34" s="10" cm="1">
        <f t="array" ref="C34">IF(A34="", "",
   IF(A34=1,
      SUMPRODUCT($D$21:INDEX($D:$D, 20+$B$9)/(1+$B$8)^$A$21:INDEX($A:$A, 20+$B$9)),
      G33
   )
)</f>
        <v>69999.999999688531</v>
      </c>
      <c r="D34" s="4">
        <f t="array" ref="D34">IF($A34="", "",
   $B$7 *
   (1 + LOOKUP($A34, {1,6,11}, {0,0.03,0.05}))
)</f>
        <v>10500</v>
      </c>
      <c r="E34" s="11">
        <f t="shared" si="2"/>
        <v>10499.999999953279</v>
      </c>
      <c r="F34" s="11">
        <f t="shared" si="3"/>
        <v>4.6720742830075324E-8</v>
      </c>
      <c r="G34" s="11">
        <f t="shared" si="4"/>
        <v>69999.999999641805</v>
      </c>
      <c r="H34" s="12"/>
    </row>
    <row r="35" spans="1:8" x14ac:dyDescent="0.35">
      <c r="A35" s="5">
        <f t="shared" si="0"/>
        <v>15</v>
      </c>
      <c r="B35" s="6">
        <f t="shared" si="1"/>
        <v>50770</v>
      </c>
      <c r="C35" s="10" cm="1">
        <f t="array" ref="C35">IF(A35="", "",
   IF(A35=1,
      SUMPRODUCT($D$21:INDEX($D:$D, 20+$B$9)/(1+$B$8)^$A$21:INDEX($A:$A, 20+$B$9)),
      G34
   )
)</f>
        <v>69999.999999641805</v>
      </c>
      <c r="D35" s="4">
        <f t="array" ref="D35">IF($A35="", "",
   $B$7 *
   (1 + LOOKUP($A35, {1,6,11}, {0,0.03,0.05}))
)</f>
        <v>10500</v>
      </c>
      <c r="E35" s="11">
        <f t="shared" si="2"/>
        <v>10499.999999946271</v>
      </c>
      <c r="F35" s="11">
        <f t="shared" si="3"/>
        <v>5.3729309001937509E-8</v>
      </c>
      <c r="G35" s="11">
        <f t="shared" si="4"/>
        <v>69999.999999588079</v>
      </c>
      <c r="H35" s="12"/>
    </row>
    <row r="36" spans="1:8" x14ac:dyDescent="0.35">
      <c r="A36" s="5">
        <f t="shared" si="0"/>
        <v>16</v>
      </c>
      <c r="B36" s="6">
        <f t="shared" si="1"/>
        <v>51135</v>
      </c>
      <c r="C36" s="10" cm="1">
        <f t="array" ref="C36">IF(A36="", "",
   IF(A36=1,
      SUMPRODUCT($D$21:INDEX($D:$D, 20+$B$9)/(1+$B$8)^$A$21:INDEX($A:$A, 20+$B$9)),
      G35
   )
)</f>
        <v>69999.999999588079</v>
      </c>
      <c r="D36" s="4">
        <f t="array" ref="D36">IF($A36="", "",
   $B$7 *
   (1 + LOOKUP($A36, {1,6,11}, {0,0.03,0.05}))
)</f>
        <v>10500</v>
      </c>
      <c r="E36" s="11">
        <f t="shared" si="2"/>
        <v>10499.999999938211</v>
      </c>
      <c r="F36" s="11">
        <f t="shared" si="3"/>
        <v>6.1789251049049199E-8</v>
      </c>
      <c r="G36" s="11">
        <f t="shared" si="4"/>
        <v>69999.999999526292</v>
      </c>
      <c r="H36" s="12"/>
    </row>
    <row r="37" spans="1:8" x14ac:dyDescent="0.35">
      <c r="A37" s="5">
        <f t="shared" si="0"/>
        <v>17</v>
      </c>
      <c r="B37" s="6">
        <f t="shared" si="1"/>
        <v>51501</v>
      </c>
      <c r="C37" s="10" cm="1">
        <f t="array" ref="C37">IF(A37="", "",
   IF(A37=1,
      SUMPRODUCT($D$21:INDEX($D:$D, 20+$B$9)/(1+$B$8)^$A$21:INDEX($A:$A, 20+$B$9)),
      G36
   )
)</f>
        <v>69999.999999526292</v>
      </c>
      <c r="D37" s="4">
        <f t="array" ref="D37">IF($A37="", "",
   $B$7 *
   (1 + LOOKUP($A37, {1,6,11}, {0,0.03,0.05}))
)</f>
        <v>10500</v>
      </c>
      <c r="E37" s="11">
        <f t="shared" si="2"/>
        <v>10499.999999928943</v>
      </c>
      <c r="F37" s="11">
        <f t="shared" si="3"/>
        <v>7.1057002060115337E-8</v>
      </c>
      <c r="G37" s="11">
        <f t="shared" si="4"/>
        <v>69999.999999455235</v>
      </c>
      <c r="H37" s="12"/>
    </row>
    <row r="38" spans="1:8" x14ac:dyDescent="0.35">
      <c r="A38" s="5">
        <f t="shared" si="0"/>
        <v>18</v>
      </c>
      <c r="B38" s="6">
        <f t="shared" si="1"/>
        <v>51866</v>
      </c>
      <c r="C38" s="10" cm="1">
        <f t="array" ref="C38">IF(A38="", "",
   IF(A38=1,
      SUMPRODUCT($D$21:INDEX($D:$D, 20+$B$9)/(1+$B$8)^$A$21:INDEX($A:$A, 20+$B$9)),
      G37
   )
)</f>
        <v>69999.999999455235</v>
      </c>
      <c r="D38" s="4">
        <f t="array" ref="D38">IF($A38="", "",
   $B$7 *
   (1 + LOOKUP($A38, {1,6,11}, {0,0.03,0.05}))
)</f>
        <v>10500</v>
      </c>
      <c r="E38" s="11">
        <f t="shared" si="2"/>
        <v>10499.999999918286</v>
      </c>
      <c r="F38" s="11">
        <f t="shared" si="3"/>
        <v>8.171446097549051E-8</v>
      </c>
      <c r="G38" s="11">
        <f t="shared" si="4"/>
        <v>69999.999999373525</v>
      </c>
      <c r="H38" s="12"/>
    </row>
    <row r="39" spans="1:8" x14ac:dyDescent="0.35">
      <c r="A39" s="5">
        <f t="shared" si="0"/>
        <v>19</v>
      </c>
      <c r="B39" s="6">
        <f t="shared" si="1"/>
        <v>52231</v>
      </c>
      <c r="C39" s="10" cm="1">
        <f t="array" ref="C39">IF(A39="", "",
   IF(A39=1,
      SUMPRODUCT($D$21:INDEX($D:$D, 20+$B$9)/(1+$B$8)^$A$21:INDEX($A:$A, 20+$B$9)),
      G38
   )
)</f>
        <v>69999.999999373525</v>
      </c>
      <c r="D39" s="4">
        <f t="array" ref="D39">IF($A39="", "",
   $B$7 *
   (1 + LOOKUP($A39, {1,6,11}, {0,0.03,0.05}))
)</f>
        <v>10500</v>
      </c>
      <c r="E39" s="11">
        <f t="shared" si="2"/>
        <v>10499.999999906029</v>
      </c>
      <c r="F39" s="11">
        <f t="shared" si="3"/>
        <v>9.3970811576582491E-8</v>
      </c>
      <c r="G39" s="11">
        <f t="shared" si="4"/>
        <v>69999.999999279549</v>
      </c>
      <c r="H39" s="12"/>
    </row>
    <row r="40" spans="1:8" x14ac:dyDescent="0.35">
      <c r="A40" s="5">
        <f t="shared" si="0"/>
        <v>20</v>
      </c>
      <c r="B40" s="6">
        <f t="shared" si="1"/>
        <v>52596</v>
      </c>
      <c r="C40" s="10" cm="1">
        <f t="array" ref="C40">IF(A40="", "",
   IF(A40=1,
      SUMPRODUCT($D$21:INDEX($D:$D, 20+$B$9)/(1+$B$8)^$A$21:INDEX($A:$A, 20+$B$9)),
      G39
   )
)</f>
        <v>69999.999999279549</v>
      </c>
      <c r="D40" s="4">
        <f t="array" ref="D40">IF($A40="", "",
   $B$7 *
   (1 + LOOKUP($A40, {1,6,11}, {0,0.03,0.05}))
)</f>
        <v>10500</v>
      </c>
      <c r="E40" s="11">
        <f t="shared" si="2"/>
        <v>10499.999999891932</v>
      </c>
      <c r="F40" s="11">
        <f t="shared" si="3"/>
        <v>1.0806797945406288E-7</v>
      </c>
      <c r="G40" s="11">
        <f t="shared" si="4"/>
        <v>69999.999999171487</v>
      </c>
      <c r="H40" s="12"/>
    </row>
    <row r="41" spans="1:8" x14ac:dyDescent="0.35">
      <c r="A41" s="5">
        <f t="shared" si="0"/>
        <v>21</v>
      </c>
      <c r="B41" s="6">
        <f t="shared" si="1"/>
        <v>52962</v>
      </c>
      <c r="C41" s="10" cm="1">
        <f t="array" ref="C41">IF(A41="", "",
   IF(A41=1,
      SUMPRODUCT($D$21:INDEX($D:$D, 20+$B$9)/(1+$B$8)^$A$21:INDEX($A:$A, 20+$B$9)),
      G40
   )
)</f>
        <v>69999.999999171487</v>
      </c>
      <c r="D41" s="4">
        <f t="array" ref="D41">IF($A41="", "",
   $B$7 *
   (1 + LOOKUP($A41, {1,6,11}, {0,0.03,0.05}))
)</f>
        <v>10500</v>
      </c>
      <c r="E41" s="11">
        <f t="shared" si="2"/>
        <v>10499.999999875723</v>
      </c>
      <c r="F41" s="11">
        <f t="shared" si="3"/>
        <v>1.2427699402906001E-7</v>
      </c>
      <c r="G41" s="11">
        <f t="shared" si="4"/>
        <v>69999.999999047213</v>
      </c>
      <c r="H41" s="12"/>
    </row>
    <row r="42" spans="1:8" x14ac:dyDescent="0.35">
      <c r="A42" s="5">
        <f t="shared" si="0"/>
        <v>22</v>
      </c>
      <c r="B42" s="6">
        <f t="shared" si="1"/>
        <v>53327</v>
      </c>
      <c r="C42" s="10" cm="1">
        <f t="array" ref="C42">IF(A42="", "",
   IF(A42=1,
      SUMPRODUCT($D$21:INDEX($D:$D, 20+$B$9)/(1+$B$8)^$A$21:INDEX($A:$A, 20+$B$9)),
      G41
   )
)</f>
        <v>69999.999999047213</v>
      </c>
      <c r="D42" s="4">
        <f t="array" ref="D42">IF($A42="", "",
   $B$7 *
   (1 + LOOKUP($A42, {1,6,11}, {0,0.03,0.05}))
)</f>
        <v>10500</v>
      </c>
      <c r="E42" s="11">
        <f t="shared" si="2"/>
        <v>10499.999999857082</v>
      </c>
      <c r="F42" s="11">
        <f t="shared" si="3"/>
        <v>1.4291799743659794E-7</v>
      </c>
      <c r="G42" s="11">
        <f t="shared" si="4"/>
        <v>69999.999998904299</v>
      </c>
      <c r="H42" s="12"/>
    </row>
    <row r="43" spans="1:8" x14ac:dyDescent="0.35">
      <c r="A43" s="5">
        <f t="shared" si="0"/>
        <v>23</v>
      </c>
      <c r="B43" s="6">
        <f t="shared" si="1"/>
        <v>53692</v>
      </c>
      <c r="C43" s="10" cm="1">
        <f t="array" ref="C43">IF(A43="", "",
   IF(A43=1,
      SUMPRODUCT($D$21:INDEX($D:$D, 20+$B$9)/(1+$B$8)^$A$21:INDEX($A:$A, 20+$B$9)),
      G42
   )
)</f>
        <v>69999.999998904299</v>
      </c>
      <c r="D43" s="4">
        <f t="array" ref="D43">IF($A43="", "",
   $B$7 *
   (1 + LOOKUP($A43, {1,6,11}, {0,0.03,0.05}))
)</f>
        <v>10500</v>
      </c>
      <c r="E43" s="11">
        <f t="shared" si="2"/>
        <v>10499.999999835645</v>
      </c>
      <c r="F43" s="11">
        <f t="shared" si="3"/>
        <v>1.6435478755738586E-7</v>
      </c>
      <c r="G43" s="11">
        <f t="shared" si="4"/>
        <v>69999.99999873995</v>
      </c>
      <c r="H43" s="12"/>
    </row>
    <row r="44" spans="1:8" x14ac:dyDescent="0.35">
      <c r="A44" s="5">
        <f t="shared" si="0"/>
        <v>24</v>
      </c>
      <c r="B44" s="6">
        <f t="shared" si="1"/>
        <v>54057</v>
      </c>
      <c r="C44" s="10" cm="1">
        <f t="array" ref="C44">IF(A44="", "",
   IF(A44=1,
      SUMPRODUCT($D$21:INDEX($D:$D, 20+$B$9)/(1+$B$8)^$A$21:INDEX($A:$A, 20+$B$9)),
      G43
   )
)</f>
        <v>69999.99999873995</v>
      </c>
      <c r="D44" s="4">
        <f t="array" ref="D44">IF($A44="", "",
   $B$7 *
   (1 + LOOKUP($A44, {1,6,11}, {0,0.03,0.05}))
)</f>
        <v>10500</v>
      </c>
      <c r="E44" s="11">
        <f t="shared" si="2"/>
        <v>10499.999999810992</v>
      </c>
      <c r="F44" s="11">
        <f t="shared" si="3"/>
        <v>1.8900755094364285E-7</v>
      </c>
      <c r="G44" s="11">
        <f t="shared" si="4"/>
        <v>69999.999998550949</v>
      </c>
      <c r="H44" s="12"/>
    </row>
    <row r="45" spans="1:8" x14ac:dyDescent="0.35">
      <c r="A45" s="5">
        <f t="shared" si="0"/>
        <v>25</v>
      </c>
      <c r="B45" s="6">
        <f t="shared" si="1"/>
        <v>54423</v>
      </c>
      <c r="C45" s="10" cm="1">
        <f t="array" ref="C45">IF(A45="", "",
   IF(A45=1,
      SUMPRODUCT($D$21:INDEX($D:$D, 20+$B$9)/(1+$B$8)^$A$21:INDEX($A:$A, 20+$B$9)),
      G44
   )
)</f>
        <v>69999.999998550949</v>
      </c>
      <c r="D45" s="4">
        <f t="array" ref="D45">IF($A45="", "",
   $B$7 *
   (1 + LOOKUP($A45, {1,6,11}, {0,0.03,0.05}))
)</f>
        <v>10500</v>
      </c>
      <c r="E45" s="11">
        <f t="shared" si="2"/>
        <v>10499.999999782642</v>
      </c>
      <c r="F45" s="11">
        <f t="shared" si="3"/>
        <v>2.1735831978730857E-7</v>
      </c>
      <c r="G45" s="11">
        <f t="shared" si="4"/>
        <v>69999.999998333587</v>
      </c>
      <c r="H45" s="12"/>
    </row>
    <row r="46" spans="1:8" x14ac:dyDescent="0.35">
      <c r="A46" s="5">
        <f t="shared" si="0"/>
        <v>26</v>
      </c>
      <c r="B46" s="6">
        <f t="shared" si="1"/>
        <v>54788</v>
      </c>
      <c r="C46" s="10" cm="1">
        <f t="array" ref="C46">IF(A46="", "",
   IF(A46=1,
      SUMPRODUCT($D$21:INDEX($D:$D, 20+$B$9)/(1+$B$8)^$A$21:INDEX($A:$A, 20+$B$9)),
      G45
   )
)</f>
        <v>69999.999998333587</v>
      </c>
      <c r="D46" s="4">
        <f t="array" ref="D46">IF($A46="", "",
   $B$7 *
   (1 + LOOKUP($A46, {1,6,11}, {0,0.03,0.05}))
)</f>
        <v>10500</v>
      </c>
      <c r="E46" s="11">
        <f t="shared" si="2"/>
        <v>10499.999999750038</v>
      </c>
      <c r="F46" s="11">
        <f t="shared" si="3"/>
        <v>2.4996188585646451E-7</v>
      </c>
      <c r="G46" s="11">
        <f t="shared" si="4"/>
        <v>69999.999998083629</v>
      </c>
      <c r="H46" s="12"/>
    </row>
    <row r="47" spans="1:8" x14ac:dyDescent="0.35">
      <c r="A47" s="5">
        <f t="shared" si="0"/>
        <v>27</v>
      </c>
      <c r="B47" s="6">
        <f t="shared" si="1"/>
        <v>55153</v>
      </c>
      <c r="C47" s="10" cm="1">
        <f t="array" ref="C47">IF(A47="", "",
   IF(A47=1,
      SUMPRODUCT($D$21:INDEX($D:$D, 20+$B$9)/(1+$B$8)^$A$21:INDEX($A:$A, 20+$B$9)),
      G46
   )
)</f>
        <v>69999.999998083629</v>
      </c>
      <c r="D47" s="4">
        <f t="array" ref="D47">IF($A47="", "",
   $B$7 *
   (1 + LOOKUP($A47, {1,6,11}, {0,0.03,0.05}))
)</f>
        <v>10500</v>
      </c>
      <c r="E47" s="11">
        <f t="shared" si="2"/>
        <v>10499.999999712543</v>
      </c>
      <c r="F47" s="11">
        <f t="shared" si="3"/>
        <v>2.8745671443175524E-7</v>
      </c>
      <c r="G47" s="11">
        <f t="shared" si="4"/>
        <v>69999.999997796171</v>
      </c>
      <c r="H47" s="12"/>
    </row>
    <row r="48" spans="1:8" x14ac:dyDescent="0.35">
      <c r="A48" s="5">
        <f t="shared" si="0"/>
        <v>28</v>
      </c>
      <c r="B48" s="6">
        <f t="shared" si="1"/>
        <v>55518</v>
      </c>
      <c r="C48" s="10" cm="1">
        <f t="array" ref="C48">IF(A48="", "",
   IF(A48=1,
      SUMPRODUCT($D$21:INDEX($D:$D, 20+$B$9)/(1+$B$8)^$A$21:INDEX($A:$A, 20+$B$9)),
      G47
   )
)</f>
        <v>69999.999997796171</v>
      </c>
      <c r="D48" s="4">
        <f t="array" ref="D48">IF($A48="", "",
   $B$7 *
   (1 + LOOKUP($A48, {1,6,11}, {0,0.03,0.05}))
)</f>
        <v>10500</v>
      </c>
      <c r="E48" s="11">
        <f t="shared" si="2"/>
        <v>10499.999999669426</v>
      </c>
      <c r="F48" s="11">
        <f t="shared" si="3"/>
        <v>3.3057403925340623E-7</v>
      </c>
      <c r="G48" s="11">
        <f t="shared" si="4"/>
        <v>69999.999997465595</v>
      </c>
      <c r="H48" s="12"/>
    </row>
    <row r="49" spans="1:8" x14ac:dyDescent="0.35">
      <c r="A49" s="5">
        <f t="shared" si="0"/>
        <v>29</v>
      </c>
      <c r="B49" s="6">
        <f t="shared" si="1"/>
        <v>55884</v>
      </c>
      <c r="C49" s="10" cm="1">
        <f t="array" ref="C49">IF(A49="", "",
   IF(A49=1,
      SUMPRODUCT($D$21:INDEX($D:$D, 20+$B$9)/(1+$B$8)^$A$21:INDEX($A:$A, 20+$B$9)),
      G48
   )
)</f>
        <v>69999.999997465595</v>
      </c>
      <c r="D49" s="4">
        <f t="array" ref="D49">IF($A49="", "",
   $B$7 *
   (1 + LOOKUP($A49, {1,6,11}, {0,0.03,0.05}))
)</f>
        <v>10500</v>
      </c>
      <c r="E49" s="11">
        <f t="shared" si="2"/>
        <v>10499.999999619838</v>
      </c>
      <c r="F49" s="11">
        <f t="shared" si="3"/>
        <v>3.8016150938346982E-7</v>
      </c>
      <c r="G49" s="11">
        <f t="shared" si="4"/>
        <v>69999.999997085426</v>
      </c>
      <c r="H49" s="12"/>
    </row>
    <row r="50" spans="1:8" x14ac:dyDescent="0.35">
      <c r="A50" s="5">
        <f t="shared" si="0"/>
        <v>30</v>
      </c>
      <c r="B50" s="6">
        <f t="shared" si="1"/>
        <v>56249</v>
      </c>
      <c r="C50" s="10" cm="1">
        <f t="array" ref="C50">IF(A50="", "",
   IF(A50=1,
      SUMPRODUCT($D$21:INDEX($D:$D, 20+$B$9)/(1+$B$8)^$A$21:INDEX($A:$A, 20+$B$9)),
      G49
   )
)</f>
        <v>69999.999997085426</v>
      </c>
      <c r="D50" s="4">
        <f t="array" ref="D50">IF($A50="", "",
   $B$7 *
   (1 + LOOKUP($A50, {1,6,11}, {0,0.03,0.05}))
)</f>
        <v>10500</v>
      </c>
      <c r="E50" s="11">
        <f t="shared" si="2"/>
        <v>10499.999999562813</v>
      </c>
      <c r="F50" s="11">
        <f t="shared" si="3"/>
        <v>4.3718682718463242E-7</v>
      </c>
      <c r="G50" s="11">
        <f t="shared" si="4"/>
        <v>69999.999996648243</v>
      </c>
      <c r="H50" s="12"/>
    </row>
    <row r="51" spans="1:8" x14ac:dyDescent="0.35">
      <c r="A51" s="5">
        <f t="shared" si="0"/>
        <v>31</v>
      </c>
      <c r="B51" s="6">
        <f t="shared" si="1"/>
        <v>56614</v>
      </c>
      <c r="C51" s="10" cm="1">
        <f t="array" ref="C51">IF(A51="", "",
   IF(A51=1,
      SUMPRODUCT($D$21:INDEX($D:$D, 20+$B$9)/(1+$B$8)^$A$21:INDEX($A:$A, 20+$B$9)),
      G50
   )
)</f>
        <v>69999.999996648243</v>
      </c>
      <c r="D51" s="4">
        <f t="array" ref="D51">IF($A51="", "",
   $B$7 *
   (1 + LOOKUP($A51, {1,6,11}, {0,0.03,0.05}))
)</f>
        <v>10500</v>
      </c>
      <c r="E51" s="11">
        <f t="shared" si="2"/>
        <v>10499.999999497237</v>
      </c>
      <c r="F51" s="11">
        <f t="shared" si="3"/>
        <v>5.0276321417186409E-7</v>
      </c>
      <c r="G51" s="11">
        <f t="shared" si="4"/>
        <v>69999.999996145474</v>
      </c>
      <c r="H51" s="12"/>
    </row>
    <row r="52" spans="1:8" x14ac:dyDescent="0.35">
      <c r="A52" s="5">
        <f t="shared" si="0"/>
        <v>32</v>
      </c>
      <c r="B52" s="6">
        <f t="shared" si="1"/>
        <v>56979</v>
      </c>
      <c r="C52" s="10" cm="1">
        <f t="array" ref="C52">IF(A52="", "",
   IF(A52=1,
      SUMPRODUCT($D$21:INDEX($D:$D, 20+$B$9)/(1+$B$8)^$A$21:INDEX($A:$A, 20+$B$9)),
      G51
   )
)</f>
        <v>69999.999996145474</v>
      </c>
      <c r="D52" s="4">
        <f t="array" ref="D52">IF($A52="", "",
   $B$7 *
   (1 + LOOKUP($A52, {1,6,11}, {0,0.03,0.05}))
)</f>
        <v>10500</v>
      </c>
      <c r="E52" s="11">
        <f t="shared" si="2"/>
        <v>10499.999999421821</v>
      </c>
      <c r="F52" s="11">
        <f t="shared" si="3"/>
        <v>5.781785148428753E-7</v>
      </c>
      <c r="G52" s="11">
        <f t="shared" si="4"/>
        <v>69999.999995567297</v>
      </c>
      <c r="H52" s="12"/>
    </row>
    <row r="53" spans="1:8" x14ac:dyDescent="0.35">
      <c r="A53" s="5">
        <f t="shared" si="0"/>
        <v>33</v>
      </c>
      <c r="B53" s="6">
        <f t="shared" si="1"/>
        <v>57345</v>
      </c>
      <c r="C53" s="10" cm="1">
        <f t="array" ref="C53">IF(A53="", "",
   IF(A53=1,
      SUMPRODUCT($D$21:INDEX($D:$D, 20+$B$9)/(1+$B$8)^$A$21:INDEX($A:$A, 20+$B$9)),
      G52
   )
)</f>
        <v>69999.999995567297</v>
      </c>
      <c r="D53" s="4">
        <f t="array" ref="D53">IF($A53="", "",
   $B$7 *
   (1 + LOOKUP($A53, {1,6,11}, {0,0.03,0.05}))
)</f>
        <v>10500</v>
      </c>
      <c r="E53" s="11">
        <f t="shared" si="2"/>
        <v>10499.999999335094</v>
      </c>
      <c r="F53" s="11">
        <f t="shared" si="3"/>
        <v>6.6490611061453819E-7</v>
      </c>
      <c r="G53" s="11">
        <f t="shared" si="4"/>
        <v>69999.999994902391</v>
      </c>
      <c r="H53" s="12"/>
    </row>
    <row r="54" spans="1:8" x14ac:dyDescent="0.35">
      <c r="A54" s="5">
        <f t="shared" si="0"/>
        <v>34</v>
      </c>
      <c r="B54" s="6">
        <f t="shared" si="1"/>
        <v>57710</v>
      </c>
      <c r="C54" s="10" cm="1">
        <f t="array" ref="C54">IF(A54="", "",
   IF(A54=1,
      SUMPRODUCT($D$21:INDEX($D:$D, 20+$B$9)/(1+$B$8)^$A$21:INDEX($A:$A, 20+$B$9)),
      G53
   )
)</f>
        <v>69999.999994902391</v>
      </c>
      <c r="D54" s="4">
        <f t="array" ref="D54">IF($A54="", "",
   $B$7 *
   (1 + LOOKUP($A54, {1,6,11}, {0,0.03,0.05}))
)</f>
        <v>10500</v>
      </c>
      <c r="E54" s="11">
        <f t="shared" si="2"/>
        <v>10499.999999235359</v>
      </c>
      <c r="F54" s="11">
        <f t="shared" si="3"/>
        <v>7.646412996109575E-7</v>
      </c>
      <c r="G54" s="11">
        <f t="shared" si="4"/>
        <v>69999.999994137746</v>
      </c>
      <c r="H54" s="12"/>
    </row>
    <row r="55" spans="1:8" x14ac:dyDescent="0.35">
      <c r="A55" s="5">
        <f t="shared" si="0"/>
        <v>35</v>
      </c>
      <c r="B55" s="6">
        <f t="shared" si="1"/>
        <v>58075</v>
      </c>
      <c r="C55" s="10" cm="1">
        <f t="array" ref="C55">IF(A55="", "",
   IF(A55=1,
      SUMPRODUCT($D$21:INDEX($D:$D, 20+$B$9)/(1+$B$8)^$A$21:INDEX($A:$A, 20+$B$9)),
      G54
   )
)</f>
        <v>69999.999994137746</v>
      </c>
      <c r="D55" s="4">
        <f t="array" ref="D55">IF($A55="", "",
   $B$7 *
   (1 + LOOKUP($A55, {1,6,11}, {0,0.03,0.05}))
)</f>
        <v>10500</v>
      </c>
      <c r="E55" s="11">
        <f t="shared" si="2"/>
        <v>10499.999999120662</v>
      </c>
      <c r="F55" s="11">
        <f t="shared" si="3"/>
        <v>8.7933767645154148E-7</v>
      </c>
      <c r="G55" s="11">
        <f t="shared" si="4"/>
        <v>69999.999993258403</v>
      </c>
      <c r="H55" s="12"/>
    </row>
    <row r="56" spans="1:8" x14ac:dyDescent="0.35">
      <c r="A56" s="5">
        <f t="shared" si="0"/>
        <v>36</v>
      </c>
      <c r="B56" s="6">
        <f t="shared" si="1"/>
        <v>58440</v>
      </c>
      <c r="C56" s="10" cm="1">
        <f t="array" ref="C56">IF(A56="", "",
   IF(A56=1,
      SUMPRODUCT($D$21:INDEX($D:$D, 20+$B$9)/(1+$B$8)^$A$21:INDEX($A:$A, 20+$B$9)),
      G55
   )
)</f>
        <v>69999.999993258403</v>
      </c>
      <c r="D56" s="4">
        <f t="array" ref="D56">IF($A56="", "",
   $B$7 *
   (1 + LOOKUP($A56, {1,6,11}, {0,0.03,0.05}))
)</f>
        <v>10500</v>
      </c>
      <c r="E56" s="11">
        <f t="shared" si="2"/>
        <v>10499.99999898876</v>
      </c>
      <c r="F56" s="11">
        <f t="shared" si="3"/>
        <v>1.0112398740602657E-6</v>
      </c>
      <c r="G56" s="11">
        <f t="shared" si="4"/>
        <v>69999.999992247162</v>
      </c>
      <c r="H56" s="12"/>
    </row>
    <row r="57" spans="1:8" x14ac:dyDescent="0.35">
      <c r="A57" s="5">
        <f t="shared" si="0"/>
        <v>37</v>
      </c>
      <c r="B57" s="6">
        <f t="shared" si="1"/>
        <v>58806</v>
      </c>
      <c r="C57" s="10" cm="1">
        <f t="array" ref="C57">IF(A57="", "",
   IF(A57=1,
      SUMPRODUCT($D$21:INDEX($D:$D, 20+$B$9)/(1+$B$8)^$A$21:INDEX($A:$A, 20+$B$9)),
      G56
   )
)</f>
        <v>69999.999992247162</v>
      </c>
      <c r="D57" s="4">
        <f t="array" ref="D57">IF($A57="", "",
   $B$7 *
   (1 + LOOKUP($A57, {1,6,11}, {0,0.03,0.05}))
)</f>
        <v>10500</v>
      </c>
      <c r="E57" s="11">
        <f t="shared" si="2"/>
        <v>10499.999998837075</v>
      </c>
      <c r="F57" s="11">
        <f t="shared" si="3"/>
        <v>1.1629254004219547E-6</v>
      </c>
      <c r="G57" s="11">
        <f t="shared" si="4"/>
        <v>69999.999991084231</v>
      </c>
      <c r="H57" s="12"/>
    </row>
    <row r="58" spans="1:8" x14ac:dyDescent="0.35">
      <c r="A58" s="5">
        <f t="shared" si="0"/>
        <v>38</v>
      </c>
      <c r="B58" s="6">
        <f t="shared" si="1"/>
        <v>59171</v>
      </c>
      <c r="C58" s="10" cm="1">
        <f t="array" ref="C58">IF(A58="", "",
   IF(A58=1,
      SUMPRODUCT($D$21:INDEX($D:$D, 20+$B$9)/(1+$B$8)^$A$21:INDEX($A:$A, 20+$B$9)),
      G57
   )
)</f>
        <v>69999.999991084231</v>
      </c>
      <c r="D58" s="4">
        <f t="array" ref="D58">IF($A58="", "",
   $B$7 *
   (1 + LOOKUP($A58, {1,6,11}, {0,0.03,0.05}))
)</f>
        <v>10500</v>
      </c>
      <c r="E58" s="11">
        <f t="shared" si="2"/>
        <v>10499.999998662634</v>
      </c>
      <c r="F58" s="11">
        <f t="shared" si="3"/>
        <v>1.3373664842220023E-6</v>
      </c>
      <c r="G58" s="11">
        <f t="shared" si="4"/>
        <v>69999.999989746866</v>
      </c>
      <c r="H58" s="12"/>
    </row>
    <row r="59" spans="1:8" x14ac:dyDescent="0.35">
      <c r="A59" s="5">
        <f t="shared" si="0"/>
        <v>39</v>
      </c>
      <c r="B59" s="6">
        <f t="shared" si="1"/>
        <v>59536</v>
      </c>
      <c r="C59" s="10" cm="1">
        <f t="array" ref="C59">IF(A59="", "",
   IF(A59=1,
      SUMPRODUCT($D$21:INDEX($D:$D, 20+$B$9)/(1+$B$8)^$A$21:INDEX($A:$A, 20+$B$9)),
      G58
   )
)</f>
        <v>69999.999989746866</v>
      </c>
      <c r="D59" s="4">
        <f t="array" ref="D59">IF($A59="", "",
   $B$7 *
   (1 + LOOKUP($A59, {1,6,11}, {0,0.03,0.05}))
)</f>
        <v>10500</v>
      </c>
      <c r="E59" s="11">
        <f t="shared" si="2"/>
        <v>10499.99999846203</v>
      </c>
      <c r="F59" s="11">
        <f t="shared" si="3"/>
        <v>1.53797009261325E-6</v>
      </c>
      <c r="G59" s="11">
        <f t="shared" si="4"/>
        <v>69999.999988208903</v>
      </c>
      <c r="H59" s="12"/>
    </row>
    <row r="60" spans="1:8" x14ac:dyDescent="0.35">
      <c r="A60" s="5">
        <f t="shared" si="0"/>
        <v>40</v>
      </c>
      <c r="B60" s="6">
        <f t="shared" si="1"/>
        <v>59901</v>
      </c>
      <c r="C60" s="10" cm="1">
        <f t="array" ref="C60">IF(A60="", "",
   IF(A60=1,
      SUMPRODUCT($D$21:INDEX($D:$D, 20+$B$9)/(1+$B$8)^$A$21:INDEX($A:$A, 20+$B$9)),
      G59
   )
)</f>
        <v>69999.999988208903</v>
      </c>
      <c r="D60" s="4">
        <f t="array" ref="D60">IF($A60="", "",
   $B$7 *
   (1 + LOOKUP($A60, {1,6,11}, {0,0.03,0.05}))
)</f>
        <v>10500</v>
      </c>
      <c r="E60" s="11">
        <f t="shared" si="2"/>
        <v>10499.999998231335</v>
      </c>
      <c r="F60" s="11">
        <f t="shared" si="3"/>
        <v>1.7686652427073568E-6</v>
      </c>
      <c r="G60" s="11">
        <f t="shared" si="4"/>
        <v>69999.999986440234</v>
      </c>
      <c r="H60" s="12"/>
    </row>
    <row r="61" spans="1:8" x14ac:dyDescent="0.35">
      <c r="A61" s="5">
        <f t="shared" si="0"/>
        <v>41</v>
      </c>
      <c r="B61" s="6">
        <f t="shared" si="1"/>
        <v>60267</v>
      </c>
      <c r="C61" s="10" cm="1">
        <f t="array" ref="C61">IF(A61="", "",
   IF(A61=1,
      SUMPRODUCT($D$21:INDEX($D:$D, 20+$B$9)/(1+$B$8)^$A$21:INDEX($A:$A, 20+$B$9)),
      G60
   )
)</f>
        <v>69999.999986440234</v>
      </c>
      <c r="D61" s="4">
        <f t="array" ref="D61">IF($A61="", "",
   $B$7 *
   (1 + LOOKUP($A61, {1,6,11}, {0,0.03,0.05}))
)</f>
        <v>10500</v>
      </c>
      <c r="E61" s="11">
        <f t="shared" si="2"/>
        <v>10499.999997966035</v>
      </c>
      <c r="F61" s="11">
        <f t="shared" si="3"/>
        <v>2.03396484721452E-6</v>
      </c>
      <c r="G61" s="11">
        <f t="shared" si="4"/>
        <v>69999.99998440627</v>
      </c>
      <c r="H61" s="12"/>
    </row>
    <row r="62" spans="1:8" x14ac:dyDescent="0.35">
      <c r="A62" s="5">
        <f t="shared" si="0"/>
        <v>42</v>
      </c>
      <c r="B62" s="6">
        <f t="shared" si="1"/>
        <v>60632</v>
      </c>
      <c r="C62" s="10" cm="1">
        <f t="array" ref="C62">IF(A62="", "",
   IF(A62=1,
      SUMPRODUCT($D$21:INDEX($D:$D, 20+$B$9)/(1+$B$8)^$A$21:INDEX($A:$A, 20+$B$9)),
      G61
   )
)</f>
        <v>69999.99998440627</v>
      </c>
      <c r="D62" s="4">
        <f t="array" ref="D62">IF($A62="", "",
   $B$7 *
   (1 + LOOKUP($A62, {1,6,11}, {0,0.03,0.05}))
)</f>
        <v>10500</v>
      </c>
      <c r="E62" s="11">
        <f t="shared" si="2"/>
        <v>10499.99999766094</v>
      </c>
      <c r="F62" s="11">
        <f t="shared" si="3"/>
        <v>2.3390603018924594E-6</v>
      </c>
      <c r="G62" s="11">
        <f t="shared" si="4"/>
        <v>69999.999982067209</v>
      </c>
      <c r="H62" s="12"/>
    </row>
    <row r="63" spans="1:8" x14ac:dyDescent="0.35">
      <c r="A63" s="5">
        <f t="shared" si="0"/>
        <v>43</v>
      </c>
      <c r="B63" s="6">
        <f t="shared" si="1"/>
        <v>60997</v>
      </c>
      <c r="C63" s="10" cm="1">
        <f t="array" ref="C63">IF(A63="", "",
   IF(A63=1,
      SUMPRODUCT($D$21:INDEX($D:$D, 20+$B$9)/(1+$B$8)^$A$21:INDEX($A:$A, 20+$B$9)),
      G62
   )
)</f>
        <v>69999.999982067209</v>
      </c>
      <c r="D63" s="4">
        <f t="array" ref="D63">IF($A63="", "",
   $B$7 *
   (1 + LOOKUP($A63, {1,6,11}, {0,0.03,0.05}))
)</f>
        <v>10500</v>
      </c>
      <c r="E63" s="11">
        <f t="shared" si="2"/>
        <v>10499.99999731008</v>
      </c>
      <c r="F63" s="11">
        <f t="shared" si="3"/>
        <v>2.689919710974209E-6</v>
      </c>
      <c r="G63" s="11">
        <f t="shared" si="4"/>
        <v>69999.999979377288</v>
      </c>
      <c r="H63" s="12"/>
    </row>
    <row r="64" spans="1:8" x14ac:dyDescent="0.35">
      <c r="A64" s="5">
        <f t="shared" si="0"/>
        <v>44</v>
      </c>
      <c r="B64" s="6">
        <f t="shared" si="1"/>
        <v>61362</v>
      </c>
      <c r="C64" s="10" cm="1">
        <f t="array" ref="C64">IF(A64="", "",
   IF(A64=1,
      SUMPRODUCT($D$21:INDEX($D:$D, 20+$B$9)/(1+$B$8)^$A$21:INDEX($A:$A, 20+$B$9)),
      G63
   )
)</f>
        <v>69999.999979377288</v>
      </c>
      <c r="D64" s="4">
        <f t="array" ref="D64">IF($A64="", "",
   $B$7 *
   (1 + LOOKUP($A64, {1,6,11}, {0,0.03,0.05}))
)</f>
        <v>10500</v>
      </c>
      <c r="E64" s="11">
        <f t="shared" si="2"/>
        <v>10499.999996906592</v>
      </c>
      <c r="F64" s="11">
        <f t="shared" si="3"/>
        <v>3.0934079404687509E-6</v>
      </c>
      <c r="G64" s="11">
        <f t="shared" si="4"/>
        <v>69999.999976283885</v>
      </c>
      <c r="H64" s="12"/>
    </row>
    <row r="65" spans="1:8" x14ac:dyDescent="0.35">
      <c r="A65" s="5">
        <f t="shared" si="0"/>
        <v>45</v>
      </c>
      <c r="B65" s="6">
        <f t="shared" si="1"/>
        <v>61728</v>
      </c>
      <c r="C65" s="10" cm="1">
        <f t="array" ref="C65">IF(A65="", "",
   IF(A65=1,
      SUMPRODUCT($D$21:INDEX($D:$D, 20+$B$9)/(1+$B$8)^$A$21:INDEX($A:$A, 20+$B$9)),
      G64
   )
)</f>
        <v>69999.999976283885</v>
      </c>
      <c r="D65" s="4">
        <f t="array" ref="D65">IF($A65="", "",
   $B$7 *
   (1 + LOOKUP($A65, {1,6,11}, {0,0.03,0.05}))
)</f>
        <v>10500</v>
      </c>
      <c r="E65" s="11">
        <f t="shared" si="2"/>
        <v>10499.999996442582</v>
      </c>
      <c r="F65" s="11">
        <f t="shared" si="3"/>
        <v>3.5574175853980705E-6</v>
      </c>
      <c r="G65" s="11">
        <f t="shared" si="4"/>
        <v>69999.999972726466</v>
      </c>
      <c r="H65" s="12"/>
    </row>
    <row r="66" spans="1:8" x14ac:dyDescent="0.35">
      <c r="A66" s="5">
        <f t="shared" si="0"/>
        <v>46</v>
      </c>
      <c r="B66" s="6">
        <f t="shared" si="1"/>
        <v>62093</v>
      </c>
      <c r="C66" s="10" cm="1">
        <f t="array" ref="C66">IF(A66="", "",
   IF(A66=1,
      SUMPRODUCT($D$21:INDEX($D:$D, 20+$B$9)/(1+$B$8)^$A$21:INDEX($A:$A, 20+$B$9)),
      G65
   )
)</f>
        <v>69999.999972726466</v>
      </c>
      <c r="D66" s="4">
        <f t="array" ref="D66">IF($A66="", "",
   $B$7 *
   (1 + LOOKUP($A66, {1,6,11}, {0,0.03,0.05}))
)</f>
        <v>10500</v>
      </c>
      <c r="E66" s="11">
        <f t="shared" si="2"/>
        <v>10499.999995908969</v>
      </c>
      <c r="F66" s="11">
        <f t="shared" si="3"/>
        <v>4.0910308598540723E-6</v>
      </c>
      <c r="G66" s="11">
        <f t="shared" si="4"/>
        <v>69999.999968635442</v>
      </c>
      <c r="H66" s="12"/>
    </row>
    <row r="67" spans="1:8" x14ac:dyDescent="0.35">
      <c r="A67" s="5">
        <f t="shared" si="0"/>
        <v>47</v>
      </c>
      <c r="B67" s="6">
        <f t="shared" si="1"/>
        <v>62458</v>
      </c>
      <c r="C67" s="10" cm="1">
        <f t="array" ref="C67">IF(A67="", "",
   IF(A67=1,
      SUMPRODUCT($D$21:INDEX($D:$D, 20+$B$9)/(1+$B$8)^$A$21:INDEX($A:$A, 20+$B$9)),
      G66
   )
)</f>
        <v>69999.999968635442</v>
      </c>
      <c r="D67" s="4">
        <f t="array" ref="D67">IF($A67="", "",
   $B$7 *
   (1 + LOOKUP($A67, {1,6,11}, {0,0.03,0.05}))
)</f>
        <v>10500</v>
      </c>
      <c r="E67" s="11">
        <f t="shared" si="2"/>
        <v>10499.999995295317</v>
      </c>
      <c r="F67" s="11">
        <f t="shared" si="3"/>
        <v>4.7046833060448989E-6</v>
      </c>
      <c r="G67" s="11">
        <f t="shared" si="4"/>
        <v>69999.999963930764</v>
      </c>
      <c r="H67" s="12"/>
    </row>
    <row r="68" spans="1:8" x14ac:dyDescent="0.35">
      <c r="A68" s="5">
        <f t="shared" si="0"/>
        <v>48</v>
      </c>
      <c r="B68" s="6">
        <f t="shared" si="1"/>
        <v>62823</v>
      </c>
      <c r="C68" s="10" cm="1">
        <f t="array" ref="C68">IF(A68="", "",
   IF(A68=1,
      SUMPRODUCT($D$21:INDEX($D:$D, 20+$B$9)/(1+$B$8)^$A$21:INDEX($A:$A, 20+$B$9)),
      G67
   )
)</f>
        <v>69999.999963930764</v>
      </c>
      <c r="D68" s="4">
        <f t="array" ref="D68">IF($A68="", "",
   $B$7 *
   (1 + LOOKUP($A68, {1,6,11}, {0,0.03,0.05}))
)</f>
        <v>10500</v>
      </c>
      <c r="E68" s="11">
        <f t="shared" si="2"/>
        <v>10499.999994589614</v>
      </c>
      <c r="F68" s="11">
        <f t="shared" si="3"/>
        <v>5.4103857110021636E-6</v>
      </c>
      <c r="G68" s="11">
        <f t="shared" si="4"/>
        <v>69999.999958520377</v>
      </c>
      <c r="H68" s="12"/>
    </row>
    <row r="69" spans="1:8" x14ac:dyDescent="0.35">
      <c r="A69" s="5">
        <f t="shared" si="0"/>
        <v>49</v>
      </c>
      <c r="B69" s="6">
        <f t="shared" si="1"/>
        <v>63189</v>
      </c>
      <c r="C69" s="10" cm="1">
        <f t="array" ref="C69">IF(A69="", "",
   IF(A69=1,
      SUMPRODUCT($D$21:INDEX($D:$D, 20+$B$9)/(1+$B$8)^$A$21:INDEX($A:$A, 20+$B$9)),
      G68
   )
)</f>
        <v>69999.999958520377</v>
      </c>
      <c r="D69" s="4">
        <f t="array" ref="D69">IF($A69="", "",
   $B$7 *
   (1 + LOOKUP($A69, {1,6,11}, {0,0.03,0.05}))
)</f>
        <v>10500</v>
      </c>
      <c r="E69" s="11">
        <f t="shared" si="2"/>
        <v>10499.999993778056</v>
      </c>
      <c r="F69" s="11">
        <f t="shared" si="3"/>
        <v>6.2219442042987794E-6</v>
      </c>
      <c r="G69" s="11">
        <f t="shared" si="4"/>
        <v>69999.999952298429</v>
      </c>
      <c r="H69" s="12"/>
    </row>
    <row r="70" spans="1:8" x14ac:dyDescent="0.35">
      <c r="A70" s="5">
        <f t="shared" si="0"/>
        <v>50</v>
      </c>
      <c r="B70" s="6">
        <f t="shared" si="1"/>
        <v>63554</v>
      </c>
      <c r="C70" s="10" cm="1">
        <f t="array" ref="C70">IF(A70="", "",
   IF(A70=1,
      SUMPRODUCT($D$21:INDEX($D:$D, 20+$B$9)/(1+$B$8)^$A$21:INDEX($A:$A, 20+$B$9)),
      G69
   )
)</f>
        <v>69999.999952298429</v>
      </c>
      <c r="D70" s="4">
        <f t="array" ref="D70">IF($A70="", "",
   $B$7 *
   (1 + LOOKUP($A70, {1,6,11}, {0,0.03,0.05}))
)</f>
        <v>10500</v>
      </c>
      <c r="E70" s="11">
        <f t="shared" si="2"/>
        <v>10499.999992844763</v>
      </c>
      <c r="F70" s="11">
        <f t="shared" si="3"/>
        <v>7.155236744438298E-6</v>
      </c>
      <c r="G70" s="11">
        <f t="shared" si="4"/>
        <v>69999.999945143194</v>
      </c>
      <c r="H70" s="12"/>
    </row>
    <row r="71" spans="1:8" x14ac:dyDescent="0.35">
      <c r="A71" s="5">
        <f t="shared" si="0"/>
        <v>51</v>
      </c>
      <c r="B71" s="6">
        <f t="shared" si="1"/>
        <v>63919</v>
      </c>
      <c r="C71" s="10" cm="1">
        <f t="array" ref="C71">IF(A71="", "",
   IF(A71=1,
      SUMPRODUCT($D$21:INDEX($D:$D, 20+$B$9)/(1+$B$8)^$A$21:INDEX($A:$A, 20+$B$9)),
      G70
   )
)</f>
        <v>69999.999945143194</v>
      </c>
      <c r="D71" s="4">
        <f t="array" ref="D71">IF($A71="", "",
   $B$7 *
   (1 + LOOKUP($A71, {1,6,11}, {0,0.03,0.05}))
)</f>
        <v>10500</v>
      </c>
      <c r="E71" s="11">
        <f t="shared" si="2"/>
        <v>10499.999991771479</v>
      </c>
      <c r="F71" s="11">
        <f t="shared" si="3"/>
        <v>8.2285205280641094E-6</v>
      </c>
      <c r="G71" s="11">
        <f t="shared" si="4"/>
        <v>69999.999936914668</v>
      </c>
      <c r="H71" s="12"/>
    </row>
    <row r="72" spans="1:8" x14ac:dyDescent="0.35">
      <c r="A72" s="5">
        <f t="shared" si="0"/>
        <v>52</v>
      </c>
      <c r="B72" s="6">
        <f t="shared" si="1"/>
        <v>64284</v>
      </c>
      <c r="C72" s="10" cm="1">
        <f t="array" ref="C72">IF(A72="", "",
   IF(A72=1,
      SUMPRODUCT($D$21:INDEX($D:$D, 20+$B$9)/(1+$B$8)^$A$21:INDEX($A:$A, 20+$B$9)),
      G71
   )
)</f>
        <v>69999.999936914668</v>
      </c>
      <c r="D72" s="4">
        <f t="array" ref="D72">IF($A72="", "",
   $B$7 *
   (1 + LOOKUP($A72, {1,6,11}, {0,0.03,0.05}))
)</f>
        <v>10500</v>
      </c>
      <c r="E72" s="11">
        <f t="shared" si="2"/>
        <v>10499.999990537201</v>
      </c>
      <c r="F72" s="11">
        <f t="shared" si="3"/>
        <v>9.4627994258189574E-6</v>
      </c>
      <c r="G72" s="11">
        <f t="shared" si="4"/>
        <v>69999.999927451863</v>
      </c>
      <c r="H72" s="12"/>
    </row>
    <row r="73" spans="1:8" x14ac:dyDescent="0.35">
      <c r="A73" s="5">
        <f t="shared" si="0"/>
        <v>53</v>
      </c>
      <c r="B73" s="6">
        <f t="shared" si="1"/>
        <v>64650</v>
      </c>
      <c r="C73" s="10" cm="1">
        <f t="array" ref="C73">IF(A73="", "",
   IF(A73=1,
      SUMPRODUCT($D$21:INDEX($D:$D, 20+$B$9)/(1+$B$8)^$A$21:INDEX($A:$A, 20+$B$9)),
      G72
   )
)</f>
        <v>69999.999927451863</v>
      </c>
      <c r="D73" s="4">
        <f t="array" ref="D73">IF($A73="", "",
   $B$7 *
   (1 + LOOKUP($A73, {1,6,11}, {0,0.03,0.05}))
)</f>
        <v>10500</v>
      </c>
      <c r="E73" s="11">
        <f t="shared" si="2"/>
        <v>10499.999989117779</v>
      </c>
      <c r="F73" s="11">
        <f t="shared" si="3"/>
        <v>1.0882220522034913E-5</v>
      </c>
      <c r="G73" s="11">
        <f t="shared" si="4"/>
        <v>69999.99991656965</v>
      </c>
      <c r="H73" s="12"/>
    </row>
    <row r="74" spans="1:8" x14ac:dyDescent="0.35">
      <c r="A74" s="5">
        <f t="shared" si="0"/>
        <v>54</v>
      </c>
      <c r="B74" s="6">
        <f t="shared" si="1"/>
        <v>65015</v>
      </c>
      <c r="C74" s="10" cm="1">
        <f t="array" ref="C74">IF(A74="", "",
   IF(A74=1,
      SUMPRODUCT($D$21:INDEX($D:$D, 20+$B$9)/(1+$B$8)^$A$21:INDEX($A:$A, 20+$B$9)),
      G73
   )
)</f>
        <v>69999.99991656965</v>
      </c>
      <c r="D74" s="4">
        <f t="array" ref="D74">IF($A74="", "",
   $B$7 *
   (1 + LOOKUP($A74, {1,6,11}, {0,0.03,0.05}))
)</f>
        <v>10500</v>
      </c>
      <c r="E74" s="11">
        <f t="shared" si="2"/>
        <v>10499.999987485447</v>
      </c>
      <c r="F74" s="11">
        <f t="shared" si="3"/>
        <v>1.2514552508946508E-5</v>
      </c>
      <c r="G74" s="11">
        <f t="shared" si="4"/>
        <v>69999.99990405509</v>
      </c>
      <c r="H74" s="12"/>
    </row>
    <row r="75" spans="1:8" x14ac:dyDescent="0.35">
      <c r="A75" s="5">
        <f t="shared" si="0"/>
        <v>55</v>
      </c>
      <c r="B75" s="6">
        <f t="shared" si="1"/>
        <v>65380</v>
      </c>
      <c r="C75" s="10" cm="1">
        <f t="array" ref="C75">IF(A75="", "",
   IF(A75=1,
      SUMPRODUCT($D$21:INDEX($D:$D, 20+$B$9)/(1+$B$8)^$A$21:INDEX($A:$A, 20+$B$9)),
      G74
   )
)</f>
        <v>69999.99990405509</v>
      </c>
      <c r="D75" s="4">
        <f t="array" ref="D75">IF($A75="", "",
   $B$7 *
   (1 + LOOKUP($A75, {1,6,11}, {0,0.03,0.05}))
)</f>
        <v>10500</v>
      </c>
      <c r="E75" s="11">
        <f t="shared" si="2"/>
        <v>10499.999985608263</v>
      </c>
      <c r="F75" s="11">
        <f t="shared" si="3"/>
        <v>1.4391736840480007E-5</v>
      </c>
      <c r="G75" s="11">
        <f t="shared" si="4"/>
        <v>69999.999889663348</v>
      </c>
      <c r="H75" s="12"/>
    </row>
    <row r="76" spans="1:8" x14ac:dyDescent="0.35">
      <c r="A76" s="5">
        <f t="shared" si="0"/>
        <v>56</v>
      </c>
      <c r="B76" s="6">
        <f t="shared" si="1"/>
        <v>65745</v>
      </c>
      <c r="C76" s="10" cm="1">
        <f t="array" ref="C76">IF(A76="", "",
   IF(A76=1,
      SUMPRODUCT($D$21:INDEX($D:$D, 20+$B$9)/(1+$B$8)^$A$21:INDEX($A:$A, 20+$B$9)),
      G75
   )
)</f>
        <v>69999.999889663348</v>
      </c>
      <c r="D76" s="4">
        <f t="array" ref="D76">IF($A76="", "",
   $B$7 *
   (1 + LOOKUP($A76, {1,6,11}, {0,0.03,0.05}))
)</f>
        <v>10500</v>
      </c>
      <c r="E76" s="11">
        <f t="shared" si="2"/>
        <v>10499.999983449501</v>
      </c>
      <c r="F76" s="11">
        <f t="shared" si="3"/>
        <v>1.6550498912693001E-5</v>
      </c>
      <c r="G76" s="11">
        <f t="shared" si="4"/>
        <v>69999.999873112843</v>
      </c>
      <c r="H76" s="12"/>
    </row>
    <row r="77" spans="1:8" x14ac:dyDescent="0.35">
      <c r="A77" s="5">
        <f t="shared" si="0"/>
        <v>57</v>
      </c>
      <c r="B77" s="6">
        <f t="shared" si="1"/>
        <v>66111</v>
      </c>
      <c r="C77" s="10" cm="1">
        <f t="array" ref="C77">IF(A77="", "",
   IF(A77=1,
      SUMPRODUCT($D$21:INDEX($D:$D, 20+$B$9)/(1+$B$8)^$A$21:INDEX($A:$A, 20+$B$9)),
      G76
   )
)</f>
        <v>69999.999873112843</v>
      </c>
      <c r="D77" s="4">
        <f t="array" ref="D77">IF($A77="", "",
   $B$7 *
   (1 + LOOKUP($A77, {1,6,11}, {0,0.03,0.05}))
)</f>
        <v>10500</v>
      </c>
      <c r="E77" s="11">
        <f t="shared" si="2"/>
        <v>10499.999980966926</v>
      </c>
      <c r="F77" s="11">
        <f t="shared" si="3"/>
        <v>1.9033073840546422E-5</v>
      </c>
      <c r="G77" s="11">
        <f t="shared" si="4"/>
        <v>69999.999854079768</v>
      </c>
      <c r="H77" s="12"/>
    </row>
    <row r="78" spans="1:8" x14ac:dyDescent="0.35">
      <c r="A78" s="5">
        <f t="shared" si="0"/>
        <v>58</v>
      </c>
      <c r="B78" s="6">
        <f t="shared" si="1"/>
        <v>66476</v>
      </c>
      <c r="C78" s="10" cm="1">
        <f t="array" ref="C78">IF(A78="", "",
   IF(A78=1,
      SUMPRODUCT($D$21:INDEX($D:$D, 20+$B$9)/(1+$B$8)^$A$21:INDEX($A:$A, 20+$B$9)),
      G77
   )
)</f>
        <v>69999.999854079768</v>
      </c>
      <c r="D78" s="4">
        <f t="array" ref="D78">IF($A78="", "",
   $B$7 *
   (1 + LOOKUP($A78, {1,6,11}, {0,0.03,0.05}))
)</f>
        <v>10500</v>
      </c>
      <c r="E78" s="11">
        <f t="shared" si="2"/>
        <v>10499.999978111964</v>
      </c>
      <c r="F78" s="11">
        <f t="shared" si="3"/>
        <v>2.1888035917072557E-5</v>
      </c>
      <c r="G78" s="11">
        <f t="shared" si="4"/>
        <v>69999.999832191737</v>
      </c>
      <c r="H78" s="12"/>
    </row>
    <row r="79" spans="1:8" x14ac:dyDescent="0.35">
      <c r="A79" s="5">
        <f t="shared" si="0"/>
        <v>59</v>
      </c>
      <c r="B79" s="6">
        <f t="shared" si="1"/>
        <v>66841</v>
      </c>
      <c r="C79" s="10" cm="1">
        <f t="array" ref="C79">IF(A79="", "",
   IF(A79=1,
      SUMPRODUCT($D$21:INDEX($D:$D, 20+$B$9)/(1+$B$8)^$A$21:INDEX($A:$A, 20+$B$9)),
      G78
   )
)</f>
        <v>69999.999832191737</v>
      </c>
      <c r="D79" s="4">
        <f t="array" ref="D79">IF($A79="", "",
   $B$7 *
   (1 + LOOKUP($A79, {1,6,11}, {0,0.03,0.05}))
)</f>
        <v>10500</v>
      </c>
      <c r="E79" s="11">
        <f t="shared" si="2"/>
        <v>10499.999974828761</v>
      </c>
      <c r="F79" s="11">
        <f t="shared" si="3"/>
        <v>2.5171239030896686E-5</v>
      </c>
      <c r="G79" s="11">
        <f t="shared" si="4"/>
        <v>69999.999807020504</v>
      </c>
      <c r="H79" s="12"/>
    </row>
    <row r="80" spans="1:8" x14ac:dyDescent="0.35">
      <c r="A80" s="5">
        <f t="shared" si="0"/>
        <v>60</v>
      </c>
      <c r="B80" s="6">
        <f t="shared" si="1"/>
        <v>67206</v>
      </c>
      <c r="C80" s="10" cm="1">
        <f t="array" ref="C80">IF(A80="", "",
   IF(A80=1,
      SUMPRODUCT($D$21:INDEX($D:$D, 20+$B$9)/(1+$B$8)^$A$21:INDEX($A:$A, 20+$B$9)),
      G79
   )
)</f>
        <v>69999.999807020504</v>
      </c>
      <c r="D80" s="4">
        <f t="array" ref="D80">IF($A80="", "",
   $B$7 *
   (1 + LOOKUP($A80, {1,6,11}, {0,0.03,0.05}))
)</f>
        <v>10500</v>
      </c>
      <c r="E80" s="11">
        <f t="shared" si="2"/>
        <v>10499.999971053076</v>
      </c>
      <c r="F80" s="11">
        <f t="shared" si="3"/>
        <v>2.8946924430783838E-5</v>
      </c>
      <c r="G80" s="11">
        <f t="shared" si="4"/>
        <v>69999.999778073572</v>
      </c>
      <c r="H80" s="12"/>
    </row>
    <row r="81" spans="1:8" x14ac:dyDescent="0.35">
      <c r="A81" s="5">
        <f t="shared" si="0"/>
        <v>61</v>
      </c>
      <c r="B81" s="6">
        <f t="shared" si="1"/>
        <v>67572</v>
      </c>
      <c r="C81" s="10" cm="1">
        <f t="array" ref="C81">IF(A81="", "",
   IF(A81=1,
      SUMPRODUCT($D$21:INDEX($D:$D, 20+$B$9)/(1+$B$8)^$A$21:INDEX($A:$A, 20+$B$9)),
      G80
   )
)</f>
        <v>69999.999778073572</v>
      </c>
      <c r="D81" s="4">
        <f t="array" ref="D81">IF($A81="", "",
   $B$7 *
   (1 + LOOKUP($A81, {1,6,11}, {0,0.03,0.05}))
)</f>
        <v>10500</v>
      </c>
      <c r="E81" s="11">
        <f t="shared" si="2"/>
        <v>10499.999966711035</v>
      </c>
      <c r="F81" s="11">
        <f t="shared" si="3"/>
        <v>3.3288964914390817E-5</v>
      </c>
      <c r="G81" s="11">
        <f t="shared" si="4"/>
        <v>69999.999744784611</v>
      </c>
      <c r="H81" s="12"/>
    </row>
    <row r="82" spans="1:8" x14ac:dyDescent="0.35">
      <c r="A82" s="5">
        <f t="shared" si="0"/>
        <v>62</v>
      </c>
      <c r="B82" s="6">
        <f t="shared" si="1"/>
        <v>67937</v>
      </c>
      <c r="C82" s="10" cm="1">
        <f t="array" ref="C82">IF(A82="", "",
   IF(A82=1,
      SUMPRODUCT($D$21:INDEX($D:$D, 20+$B$9)/(1+$B$8)^$A$21:INDEX($A:$A, 20+$B$9)),
      G81
   )
)</f>
        <v>69999.999744784611</v>
      </c>
      <c r="D82" s="4">
        <f t="array" ref="D82">IF($A82="", "",
   $B$7 *
   (1 + LOOKUP($A82, {1,6,11}, {0,0.03,0.05}))
)</f>
        <v>10500</v>
      </c>
      <c r="E82" s="11">
        <f t="shared" si="2"/>
        <v>10499.999961717691</v>
      </c>
      <c r="F82" s="11">
        <f t="shared" si="3"/>
        <v>3.8282309105852619E-5</v>
      </c>
      <c r="G82" s="11">
        <f t="shared" si="4"/>
        <v>69999.999706502305</v>
      </c>
      <c r="H82" s="12"/>
    </row>
    <row r="83" spans="1:8" x14ac:dyDescent="0.35">
      <c r="A83" s="5">
        <f t="shared" si="0"/>
        <v>63</v>
      </c>
      <c r="B83" s="6">
        <f t="shared" si="1"/>
        <v>68302</v>
      </c>
      <c r="C83" s="10" cm="1">
        <f t="array" ref="C83">IF(A83="", "",
   IF(A83=1,
      SUMPRODUCT($D$21:INDEX($D:$D, 20+$B$9)/(1+$B$8)^$A$21:INDEX($A:$A, 20+$B$9)),
      G82
   )
)</f>
        <v>69999.999706502305</v>
      </c>
      <c r="D83" s="4">
        <f t="array" ref="D83">IF($A83="", "",
   $B$7 *
   (1 + LOOKUP($A83, {1,6,11}, {0,0.03,0.05}))
)</f>
        <v>10500</v>
      </c>
      <c r="E83" s="11">
        <f t="shared" si="2"/>
        <v>10499.999955975345</v>
      </c>
      <c r="F83" s="11">
        <f t="shared" si="3"/>
        <v>4.4024654926033691E-5</v>
      </c>
      <c r="G83" s="11">
        <f t="shared" si="4"/>
        <v>69999.999662477654</v>
      </c>
      <c r="H83" s="12"/>
    </row>
    <row r="84" spans="1:8" x14ac:dyDescent="0.35">
      <c r="A84" s="5">
        <f t="shared" si="0"/>
        <v>64</v>
      </c>
      <c r="B84" s="6">
        <f t="shared" si="1"/>
        <v>68667</v>
      </c>
      <c r="C84" s="10" cm="1">
        <f t="array" ref="C84">IF(A84="", "",
   IF(A84=1,
      SUMPRODUCT($D$21:INDEX($D:$D, 20+$B$9)/(1+$B$8)^$A$21:INDEX($A:$A, 20+$B$9)),
      G83
   )
)</f>
        <v>69999.999662477654</v>
      </c>
      <c r="D84" s="4">
        <f t="array" ref="D84">IF($A84="", "",
   $B$7 *
   (1 + LOOKUP($A84, {1,6,11}, {0,0.03,0.05}))
)</f>
        <v>10500</v>
      </c>
      <c r="E84" s="11">
        <f t="shared" si="2"/>
        <v>10499.999949371648</v>
      </c>
      <c r="F84" s="11">
        <f t="shared" si="3"/>
        <v>5.0628352255444042E-5</v>
      </c>
      <c r="G84" s="11">
        <f t="shared" si="4"/>
        <v>69999.9996118493</v>
      </c>
      <c r="H84" s="12"/>
    </row>
    <row r="85" spans="1:8" x14ac:dyDescent="0.35">
      <c r="A85" s="5">
        <f t="shared" si="0"/>
        <v>65</v>
      </c>
      <c r="B85" s="6">
        <f t="shared" si="1"/>
        <v>69033</v>
      </c>
      <c r="C85" s="10" cm="1">
        <f t="array" ref="C85">IF(A85="", "",
   IF(A85=1,
      SUMPRODUCT($D$21:INDEX($D:$D, 20+$B$9)/(1+$B$8)^$A$21:INDEX($A:$A, 20+$B$9)),
      G84
   )
)</f>
        <v>69999.9996118493</v>
      </c>
      <c r="D85" s="4">
        <f t="array" ref="D85">IF($A85="", "",
   $B$7 *
   (1 + LOOKUP($A85, {1,6,11}, {0,0.03,0.05}))
)</f>
        <v>10500</v>
      </c>
      <c r="E85" s="11">
        <f t="shared" si="2"/>
        <v>10499.999941777394</v>
      </c>
      <c r="F85" s="11">
        <f t="shared" si="3"/>
        <v>5.822260573040694E-5</v>
      </c>
      <c r="G85" s="11">
        <f t="shared" si="4"/>
        <v>69999.999553626694</v>
      </c>
      <c r="H85" s="12"/>
    </row>
    <row r="86" spans="1:8" x14ac:dyDescent="0.35">
      <c r="A86" s="5">
        <f t="shared" ref="A86:A149" si="5">IF(ROW()-20&lt;=$B$9, ROW()-20, "")</f>
        <v>66</v>
      </c>
      <c r="B86" s="6">
        <f t="shared" ref="B86:B149" si="6">IF(A86="", "", DATE(YEAR($B$6)+A86-1, 12, 31))</f>
        <v>69398</v>
      </c>
      <c r="C86" s="10" cm="1">
        <f t="array" ref="C86">IF(A86="", "",
   IF(A86=1,
      SUMPRODUCT($D$21:INDEX($D:$D, 20+$B$9)/(1+$B$8)^$A$21:INDEX($A:$A, 20+$B$9)),
      G85
   )
)</f>
        <v>69999.999553626694</v>
      </c>
      <c r="D86" s="4">
        <f t="array" ref="D86">IF($A86="", "",
   $B$7 *
   (1 + LOOKUP($A86, {1,6,11}, {0,0.03,0.05}))
)</f>
        <v>10500</v>
      </c>
      <c r="E86" s="11">
        <f t="shared" ref="E86:E149" si="7">IF($A86="", "", $C86*$B$8)</f>
        <v>10499.999933044004</v>
      </c>
      <c r="F86" s="11">
        <f t="shared" ref="F86:F149" si="8">IF($A86="", "", $D86-$E86)</f>
        <v>6.695599586237222E-5</v>
      </c>
      <c r="G86" s="11">
        <f t="shared" ref="G86:G149" si="9">IF($A86="", "", $C86-$F86)</f>
        <v>69999.999486670698</v>
      </c>
      <c r="H86" s="12"/>
    </row>
    <row r="87" spans="1:8" x14ac:dyDescent="0.35">
      <c r="A87" s="5">
        <f t="shared" si="5"/>
        <v>67</v>
      </c>
      <c r="B87" s="6">
        <f t="shared" si="6"/>
        <v>69763</v>
      </c>
      <c r="C87" s="10" cm="1">
        <f t="array" ref="C87">IF(A87="", "",
   IF(A87=1,
      SUMPRODUCT($D$21:INDEX($D:$D, 20+$B$9)/(1+$B$8)^$A$21:INDEX($A:$A, 20+$B$9)),
      G86
   )
)</f>
        <v>69999.999486670698</v>
      </c>
      <c r="D87" s="4">
        <f t="array" ref="D87">IF($A87="", "",
   $B$7 *
   (1 + LOOKUP($A87, {1,6,11}, {0,0.03,0.05}))
)</f>
        <v>10500</v>
      </c>
      <c r="E87" s="11">
        <f t="shared" si="7"/>
        <v>10499.999923000605</v>
      </c>
      <c r="F87" s="11">
        <f t="shared" si="8"/>
        <v>7.6999394877930172E-5</v>
      </c>
      <c r="G87" s="11">
        <f t="shared" si="9"/>
        <v>69999.999409671305</v>
      </c>
      <c r="H87" s="12"/>
    </row>
    <row r="88" spans="1:8" x14ac:dyDescent="0.35">
      <c r="A88" s="5">
        <f t="shared" si="5"/>
        <v>68</v>
      </c>
      <c r="B88" s="6">
        <f t="shared" si="6"/>
        <v>70128</v>
      </c>
      <c r="C88" s="10" cm="1">
        <f t="array" ref="C88">IF(A88="", "",
   IF(A88=1,
      SUMPRODUCT($D$21:INDEX($D:$D, 20+$B$9)/(1+$B$8)^$A$21:INDEX($A:$A, 20+$B$9)),
      G87
   )
)</f>
        <v>69999.999409671305</v>
      </c>
      <c r="D88" s="4">
        <f t="array" ref="D88">IF($A88="", "",
   $B$7 *
   (1 + LOOKUP($A88, {1,6,11}, {0,0.03,0.05}))
)</f>
        <v>10500</v>
      </c>
      <c r="E88" s="11">
        <f t="shared" si="7"/>
        <v>10499.999911450695</v>
      </c>
      <c r="F88" s="11">
        <f t="shared" si="8"/>
        <v>8.8549304564367048E-5</v>
      </c>
      <c r="G88" s="11">
        <f t="shared" si="9"/>
        <v>69999.999321121999</v>
      </c>
      <c r="H88" s="12"/>
    </row>
    <row r="89" spans="1:8" x14ac:dyDescent="0.35">
      <c r="A89" s="5">
        <f t="shared" si="5"/>
        <v>69</v>
      </c>
      <c r="B89" s="6">
        <f t="shared" si="6"/>
        <v>70494</v>
      </c>
      <c r="C89" s="10" cm="1">
        <f t="array" ref="C89">IF(A89="", "",
   IF(A89=1,
      SUMPRODUCT($D$21:INDEX($D:$D, 20+$B$9)/(1+$B$8)^$A$21:INDEX($A:$A, 20+$B$9)),
      G88
   )
)</f>
        <v>69999.999321121999</v>
      </c>
      <c r="D89" s="4">
        <f t="array" ref="D89">IF($A89="", "",
   $B$7 *
   (1 + LOOKUP($A89, {1,6,11}, {0,0.03,0.05}))
)</f>
        <v>10500</v>
      </c>
      <c r="E89" s="11">
        <f t="shared" si="7"/>
        <v>10499.9998981683</v>
      </c>
      <c r="F89" s="11">
        <f t="shared" si="8"/>
        <v>1.0183169979427475E-4</v>
      </c>
      <c r="G89" s="11">
        <f t="shared" si="9"/>
        <v>69999.999219290301</v>
      </c>
      <c r="H89" s="12"/>
    </row>
    <row r="90" spans="1:8" x14ac:dyDescent="0.35">
      <c r="A90" s="5">
        <f t="shared" si="5"/>
        <v>70</v>
      </c>
      <c r="B90" s="6">
        <f t="shared" si="6"/>
        <v>70859</v>
      </c>
      <c r="C90" s="10" cm="1">
        <f t="array" ref="C90">IF(A90="", "",
   IF(A90=1,
      SUMPRODUCT($D$21:INDEX($D:$D, 20+$B$9)/(1+$B$8)^$A$21:INDEX($A:$A, 20+$B$9)),
      G89
   )
)</f>
        <v>69999.999219290301</v>
      </c>
      <c r="D90" s="4">
        <f t="array" ref="D90">IF($A90="", "",
   $B$7 *
   (1 + LOOKUP($A90, {1,6,11}, {0,0.03,0.05}))
)</f>
        <v>10500</v>
      </c>
      <c r="E90" s="11">
        <f t="shared" si="7"/>
        <v>10499.999882893544</v>
      </c>
      <c r="F90" s="11">
        <f t="shared" si="8"/>
        <v>1.1710645594575908E-4</v>
      </c>
      <c r="G90" s="11">
        <f t="shared" si="9"/>
        <v>69999.99910218385</v>
      </c>
      <c r="H90" s="12"/>
    </row>
    <row r="91" spans="1:8" x14ac:dyDescent="0.35">
      <c r="A91" s="5">
        <f t="shared" si="5"/>
        <v>71</v>
      </c>
      <c r="B91" s="6">
        <f t="shared" si="6"/>
        <v>71224</v>
      </c>
      <c r="C91" s="10" cm="1">
        <f t="array" ref="C91">IF(A91="", "",
   IF(A91=1,
      SUMPRODUCT($D$21:INDEX($D:$D, 20+$B$9)/(1+$B$8)^$A$21:INDEX($A:$A, 20+$B$9)),
      G90
   )
)</f>
        <v>69999.99910218385</v>
      </c>
      <c r="D91" s="4">
        <f t="array" ref="D91">IF($A91="", "",
   $B$7 *
   (1 + LOOKUP($A91, {1,6,11}, {0,0.03,0.05}))
)</f>
        <v>10500</v>
      </c>
      <c r="E91" s="11">
        <f t="shared" si="7"/>
        <v>10499.999865327578</v>
      </c>
      <c r="F91" s="11">
        <f t="shared" si="8"/>
        <v>1.3467242206388619E-4</v>
      </c>
      <c r="G91" s="11">
        <f t="shared" si="9"/>
        <v>69999.998967511434</v>
      </c>
      <c r="H91" s="12"/>
    </row>
    <row r="92" spans="1:8" x14ac:dyDescent="0.35">
      <c r="A92" s="5">
        <f t="shared" si="5"/>
        <v>72</v>
      </c>
      <c r="B92" s="6">
        <f t="shared" si="6"/>
        <v>71589</v>
      </c>
      <c r="C92" s="10" cm="1">
        <f t="array" ref="C92">IF(A92="", "",
   IF(A92=1,
      SUMPRODUCT($D$21:INDEX($D:$D, 20+$B$9)/(1+$B$8)^$A$21:INDEX($A:$A, 20+$B$9)),
      G91
   )
)</f>
        <v>69999.998967511434</v>
      </c>
      <c r="D92" s="4">
        <f t="array" ref="D92">IF($A92="", "",
   $B$7 *
   (1 + LOOKUP($A92, {1,6,11}, {0,0.03,0.05}))
)</f>
        <v>10500</v>
      </c>
      <c r="E92" s="11">
        <f t="shared" si="7"/>
        <v>10499.999845126715</v>
      </c>
      <c r="F92" s="11">
        <f t="shared" si="8"/>
        <v>1.5487328528251965E-4</v>
      </c>
      <c r="G92" s="11">
        <f t="shared" si="9"/>
        <v>69999.99881263815</v>
      </c>
      <c r="H92" s="12"/>
    </row>
    <row r="93" spans="1:8" x14ac:dyDescent="0.35">
      <c r="A93" s="5">
        <f t="shared" si="5"/>
        <v>73</v>
      </c>
      <c r="B93" s="6">
        <f t="shared" si="6"/>
        <v>71955</v>
      </c>
      <c r="C93" s="10" cm="1">
        <f t="array" ref="C93">IF(A93="", "",
   IF(A93=1,
      SUMPRODUCT($D$21:INDEX($D:$D, 20+$B$9)/(1+$B$8)^$A$21:INDEX($A:$A, 20+$B$9)),
      G92
   )
)</f>
        <v>69999.99881263815</v>
      </c>
      <c r="D93" s="4">
        <f t="array" ref="D93">IF($A93="", "",
   $B$7 *
   (1 + LOOKUP($A93, {1,6,11}, {0,0.03,0.05}))
)</f>
        <v>10500</v>
      </c>
      <c r="E93" s="11">
        <f t="shared" si="7"/>
        <v>10499.999821895723</v>
      </c>
      <c r="F93" s="11">
        <f t="shared" si="8"/>
        <v>1.781042774382513E-4</v>
      </c>
      <c r="G93" s="11">
        <f t="shared" si="9"/>
        <v>69999.998634533869</v>
      </c>
      <c r="H93" s="12"/>
    </row>
    <row r="94" spans="1:8" x14ac:dyDescent="0.35">
      <c r="A94" s="5">
        <f t="shared" si="5"/>
        <v>74</v>
      </c>
      <c r="B94" s="6">
        <f t="shared" si="6"/>
        <v>72320</v>
      </c>
      <c r="C94" s="10" cm="1">
        <f t="array" ref="C94">IF(A94="", "",
   IF(A94=1,
      SUMPRODUCT($D$21:INDEX($D:$D, 20+$B$9)/(1+$B$8)^$A$21:INDEX($A:$A, 20+$B$9)),
      G93
   )
)</f>
        <v>69999.998634533869</v>
      </c>
      <c r="D94" s="4">
        <f t="array" ref="D94">IF($A94="", "",
   $B$7 *
   (1 + LOOKUP($A94, {1,6,11}, {0,0.03,0.05}))
)</f>
        <v>10500</v>
      </c>
      <c r="E94" s="11">
        <f t="shared" si="7"/>
        <v>10499.99979518008</v>
      </c>
      <c r="F94" s="11">
        <f t="shared" si="8"/>
        <v>2.0481992032728158E-4</v>
      </c>
      <c r="G94" s="11">
        <f t="shared" si="9"/>
        <v>69999.998429713945</v>
      </c>
      <c r="H94" s="12"/>
    </row>
    <row r="95" spans="1:8" x14ac:dyDescent="0.35">
      <c r="A95" s="5">
        <f t="shared" si="5"/>
        <v>75</v>
      </c>
      <c r="B95" s="6">
        <f t="shared" si="6"/>
        <v>72685</v>
      </c>
      <c r="C95" s="10" cm="1">
        <f t="array" ref="C95">IF(A95="", "",
   IF(A95=1,
      SUMPRODUCT($D$21:INDEX($D:$D, 20+$B$9)/(1+$B$8)^$A$21:INDEX($A:$A, 20+$B$9)),
      G94
   )
)</f>
        <v>69999.998429713945</v>
      </c>
      <c r="D95" s="4">
        <f t="array" ref="D95">IF($A95="", "",
   $B$7 *
   (1 + LOOKUP($A95, {1,6,11}, {0,0.03,0.05}))
)</f>
        <v>10500</v>
      </c>
      <c r="E95" s="11">
        <f t="shared" si="7"/>
        <v>10499.999764457092</v>
      </c>
      <c r="F95" s="11">
        <f t="shared" si="8"/>
        <v>2.35542907830677E-4</v>
      </c>
      <c r="G95" s="11">
        <f t="shared" si="9"/>
        <v>69999.998194171043</v>
      </c>
      <c r="H95" s="12"/>
    </row>
    <row r="96" spans="1:8" x14ac:dyDescent="0.35">
      <c r="A96" s="5">
        <f t="shared" si="5"/>
        <v>76</v>
      </c>
      <c r="B96" s="6">
        <f t="shared" si="6"/>
        <v>73050</v>
      </c>
      <c r="C96" s="10" cm="1">
        <f t="array" ref="C96">IF(A96="", "",
   IF(A96=1,
      SUMPRODUCT($D$21:INDEX($D:$D, 20+$B$9)/(1+$B$8)^$A$21:INDEX($A:$A, 20+$B$9)),
      G95
   )
)</f>
        <v>69999.998194171043</v>
      </c>
      <c r="D96" s="4">
        <f t="array" ref="D96">IF($A96="", "",
   $B$7 *
   (1 + LOOKUP($A96, {1,6,11}, {0,0.03,0.05}))
)</f>
        <v>10500</v>
      </c>
      <c r="E96" s="11">
        <f t="shared" si="7"/>
        <v>10499.999729125657</v>
      </c>
      <c r="F96" s="11">
        <f t="shared" si="8"/>
        <v>2.7087434318673331E-4</v>
      </c>
      <c r="G96" s="11">
        <f t="shared" si="9"/>
        <v>69999.997923296702</v>
      </c>
      <c r="H96" s="12"/>
    </row>
    <row r="97" spans="1:8" x14ac:dyDescent="0.35">
      <c r="A97" s="5">
        <f t="shared" si="5"/>
        <v>77</v>
      </c>
      <c r="B97" s="6">
        <f t="shared" si="6"/>
        <v>73415</v>
      </c>
      <c r="C97" s="10" cm="1">
        <f t="array" ref="C97">IF(A97="", "",
   IF(A97=1,
      SUMPRODUCT($D$21:INDEX($D:$D, 20+$B$9)/(1+$B$8)^$A$21:INDEX($A:$A, 20+$B$9)),
      G96
   )
)</f>
        <v>69999.997923296702</v>
      </c>
      <c r="D97" s="4">
        <f t="array" ref="D97">IF($A97="", "",
   $B$7 *
   (1 + LOOKUP($A97, {1,6,11}, {0,0.03,0.05}))
)</f>
        <v>10500</v>
      </c>
      <c r="E97" s="11">
        <f t="shared" si="7"/>
        <v>10499.999688494505</v>
      </c>
      <c r="F97" s="11">
        <f t="shared" si="8"/>
        <v>3.1150549511949066E-4</v>
      </c>
      <c r="G97" s="11">
        <f t="shared" si="9"/>
        <v>69999.997611791201</v>
      </c>
      <c r="H97" s="12"/>
    </row>
    <row r="98" spans="1:8" x14ac:dyDescent="0.35">
      <c r="A98" s="5">
        <f t="shared" si="5"/>
        <v>78</v>
      </c>
      <c r="B98" s="6">
        <f t="shared" si="6"/>
        <v>73780</v>
      </c>
      <c r="C98" s="10" cm="1">
        <f t="array" ref="C98">IF(A98="", "",
   IF(A98=1,
      SUMPRODUCT($D$21:INDEX($D:$D, 20+$B$9)/(1+$B$8)^$A$21:INDEX($A:$A, 20+$B$9)),
      G97
   )
)</f>
        <v>69999.997611791201</v>
      </c>
      <c r="D98" s="4">
        <f t="array" ref="D98">IF($A98="", "",
   $B$7 *
   (1 + LOOKUP($A98, {1,6,11}, {0,0.03,0.05}))
)</f>
        <v>10500</v>
      </c>
      <c r="E98" s="11">
        <f t="shared" si="7"/>
        <v>10499.99964176868</v>
      </c>
      <c r="F98" s="11">
        <f t="shared" si="8"/>
        <v>3.5823132020595949E-4</v>
      </c>
      <c r="G98" s="11">
        <f t="shared" si="9"/>
        <v>69999.997253559879</v>
      </c>
      <c r="H98" s="12"/>
    </row>
    <row r="99" spans="1:8" x14ac:dyDescent="0.35">
      <c r="A99" s="5">
        <f t="shared" si="5"/>
        <v>79</v>
      </c>
      <c r="B99" s="6">
        <f t="shared" si="6"/>
        <v>74145</v>
      </c>
      <c r="C99" s="10" cm="1">
        <f t="array" ref="C99">IF(A99="", "",
   IF(A99=1,
      SUMPRODUCT($D$21:INDEX($D:$D, 20+$B$9)/(1+$B$8)^$A$21:INDEX($A:$A, 20+$B$9)),
      G98
   )
)</f>
        <v>69999.997253559879</v>
      </c>
      <c r="D99" s="4">
        <f t="array" ref="D99">IF($A99="", "",
   $B$7 *
   (1 + LOOKUP($A99, {1,6,11}, {0,0.03,0.05}))
)</f>
        <v>10500</v>
      </c>
      <c r="E99" s="11">
        <f t="shared" si="7"/>
        <v>10499.999588033981</v>
      </c>
      <c r="F99" s="11">
        <f t="shared" si="8"/>
        <v>4.1196601887349971E-4</v>
      </c>
      <c r="G99" s="11">
        <f t="shared" si="9"/>
        <v>69999.996841593864</v>
      </c>
      <c r="H99" s="12"/>
    </row>
    <row r="100" spans="1:8" x14ac:dyDescent="0.35">
      <c r="A100" s="5">
        <f t="shared" si="5"/>
        <v>80</v>
      </c>
      <c r="B100" s="6">
        <f t="shared" si="6"/>
        <v>74510</v>
      </c>
      <c r="C100" s="10" cm="1">
        <f t="array" ref="C100">IF(A100="", "",
   IF(A100=1,
      SUMPRODUCT($D$21:INDEX($D:$D, 20+$B$9)/(1+$B$8)^$A$21:INDEX($A:$A, 20+$B$9)),
      G99
   )
)</f>
        <v>69999.996841593864</v>
      </c>
      <c r="D100" s="4">
        <f t="array" ref="D100">IF($A100="", "",
   $B$7 *
   (1 + LOOKUP($A100, {1,6,11}, {0,0.03,0.05}))
)</f>
        <v>10500</v>
      </c>
      <c r="E100" s="11">
        <f t="shared" si="7"/>
        <v>10499.999526239078</v>
      </c>
      <c r="F100" s="11">
        <f t="shared" si="8"/>
        <v>4.7376092152262572E-4</v>
      </c>
      <c r="G100" s="11">
        <f t="shared" si="9"/>
        <v>69999.996367832937</v>
      </c>
      <c r="H100" s="12"/>
    </row>
    <row r="101" spans="1:8" x14ac:dyDescent="0.35">
      <c r="A101" s="5">
        <f t="shared" si="5"/>
        <v>81</v>
      </c>
      <c r="B101" s="6">
        <f t="shared" si="6"/>
        <v>74876</v>
      </c>
      <c r="C101" s="10" cm="1">
        <f t="array" ref="C101">IF(A101="", "",
   IF(A101=1,
      SUMPRODUCT($D$21:INDEX($D:$D, 20+$B$9)/(1+$B$8)^$A$21:INDEX($A:$A, 20+$B$9)),
      G100
   )
)</f>
        <v>69999.996367832937</v>
      </c>
      <c r="D101" s="4">
        <f t="array" ref="D101">IF($A101="", "",
   $B$7 *
   (1 + LOOKUP($A101, {1,6,11}, {0,0.03,0.05}))
)</f>
        <v>10500</v>
      </c>
      <c r="E101" s="11">
        <f t="shared" si="7"/>
        <v>10499.999455174941</v>
      </c>
      <c r="F101" s="11">
        <f t="shared" si="8"/>
        <v>5.4482505947817117E-4</v>
      </c>
      <c r="G101" s="11">
        <f t="shared" si="9"/>
        <v>69999.995823007877</v>
      </c>
      <c r="H101" s="12"/>
    </row>
    <row r="102" spans="1:8" x14ac:dyDescent="0.35">
      <c r="A102" s="5">
        <f t="shared" si="5"/>
        <v>82</v>
      </c>
      <c r="B102" s="6">
        <f t="shared" si="6"/>
        <v>75241</v>
      </c>
      <c r="C102" s="10" cm="1">
        <f t="array" ref="C102">IF(A102="", "",
   IF(A102=1,
      SUMPRODUCT($D$21:INDEX($D:$D, 20+$B$9)/(1+$B$8)^$A$21:INDEX($A:$A, 20+$B$9)),
      G101
   )
)</f>
        <v>69999.995823007877</v>
      </c>
      <c r="D102" s="4">
        <f t="array" ref="D102">IF($A102="", "",
   $B$7 *
   (1 + LOOKUP($A102, {1,6,11}, {0,0.03,0.05}))
)</f>
        <v>10500</v>
      </c>
      <c r="E102" s="11">
        <f t="shared" si="7"/>
        <v>10499.999373451181</v>
      </c>
      <c r="F102" s="11">
        <f t="shared" si="8"/>
        <v>6.2654881912749261E-4</v>
      </c>
      <c r="G102" s="11">
        <f t="shared" si="9"/>
        <v>69999.995196459058</v>
      </c>
      <c r="H102" s="12"/>
    </row>
    <row r="103" spans="1:8" x14ac:dyDescent="0.35">
      <c r="A103" s="5">
        <f t="shared" si="5"/>
        <v>83</v>
      </c>
      <c r="B103" s="6">
        <f t="shared" si="6"/>
        <v>75606</v>
      </c>
      <c r="C103" s="10" cm="1">
        <f t="array" ref="C103">IF(A103="", "",
   IF(A103=1,
      SUMPRODUCT($D$21:INDEX($D:$D, 20+$B$9)/(1+$B$8)^$A$21:INDEX($A:$A, 20+$B$9)),
      G102
   )
)</f>
        <v>69999.995196459058</v>
      </c>
      <c r="D103" s="4">
        <f t="array" ref="D103">IF($A103="", "",
   $B$7 *
   (1 + LOOKUP($A103, {1,6,11}, {0,0.03,0.05}))
)</f>
        <v>10500</v>
      </c>
      <c r="E103" s="11">
        <f t="shared" si="7"/>
        <v>10499.999279468859</v>
      </c>
      <c r="F103" s="11">
        <f t="shared" si="8"/>
        <v>7.2053114126902074E-4</v>
      </c>
      <c r="G103" s="11">
        <f t="shared" si="9"/>
        <v>69999.994475927917</v>
      </c>
      <c r="H103" s="12"/>
    </row>
    <row r="104" spans="1:8" x14ac:dyDescent="0.35">
      <c r="A104" s="5">
        <f t="shared" si="5"/>
        <v>84</v>
      </c>
      <c r="B104" s="6">
        <f t="shared" si="6"/>
        <v>75971</v>
      </c>
      <c r="C104" s="10" cm="1">
        <f t="array" ref="C104">IF(A104="", "",
   IF(A104=1,
      SUMPRODUCT($D$21:INDEX($D:$D, 20+$B$9)/(1+$B$8)^$A$21:INDEX($A:$A, 20+$B$9)),
      G103
   )
)</f>
        <v>69999.994475927917</v>
      </c>
      <c r="D104" s="4">
        <f t="array" ref="D104">IF($A104="", "",
   $B$7 *
   (1 + LOOKUP($A104, {1,6,11}, {0,0.03,0.05}))
)</f>
        <v>10500</v>
      </c>
      <c r="E104" s="11">
        <f t="shared" si="7"/>
        <v>10499.999171389187</v>
      </c>
      <c r="F104" s="11">
        <f t="shared" si="8"/>
        <v>8.2861081318696961E-4</v>
      </c>
      <c r="G104" s="11">
        <f t="shared" si="9"/>
        <v>69999.993647317111</v>
      </c>
      <c r="H104" s="12"/>
    </row>
    <row r="105" spans="1:8" x14ac:dyDescent="0.35">
      <c r="A105" s="5">
        <f t="shared" si="5"/>
        <v>85</v>
      </c>
      <c r="B105" s="6">
        <f t="shared" si="6"/>
        <v>76337</v>
      </c>
      <c r="C105" s="10" cm="1">
        <f t="array" ref="C105">IF(A105="", "",
   IF(A105=1,
      SUMPRODUCT($D$21:INDEX($D:$D, 20+$B$9)/(1+$B$8)^$A$21:INDEX($A:$A, 20+$B$9)),
      G104
   )
)</f>
        <v>69999.993647317111</v>
      </c>
      <c r="D105" s="4">
        <f t="array" ref="D105">IF($A105="", "",
   $B$7 *
   (1 + LOOKUP($A105, {1,6,11}, {0,0.03,0.05}))
)</f>
        <v>10500</v>
      </c>
      <c r="E105" s="11">
        <f t="shared" si="7"/>
        <v>10499.999047097566</v>
      </c>
      <c r="F105" s="11">
        <f t="shared" si="8"/>
        <v>9.5290243370982353E-4</v>
      </c>
      <c r="G105" s="11">
        <f t="shared" si="9"/>
        <v>69999.992694414672</v>
      </c>
      <c r="H105" s="12"/>
    </row>
    <row r="106" spans="1:8" x14ac:dyDescent="0.35">
      <c r="A106" s="5">
        <f t="shared" si="5"/>
        <v>86</v>
      </c>
      <c r="B106" s="6">
        <f t="shared" si="6"/>
        <v>76702</v>
      </c>
      <c r="C106" s="10" cm="1">
        <f t="array" ref="C106">IF(A106="", "",
   IF(A106=1,
      SUMPRODUCT($D$21:INDEX($D:$D, 20+$B$9)/(1+$B$8)^$A$21:INDEX($A:$A, 20+$B$9)),
      G105
   )
)</f>
        <v>69999.992694414672</v>
      </c>
      <c r="D106" s="4">
        <f t="array" ref="D106">IF($A106="", "",
   $B$7 *
   (1 + LOOKUP($A106, {1,6,11}, {0,0.03,0.05}))
)</f>
        <v>10500</v>
      </c>
      <c r="E106" s="11">
        <f t="shared" si="7"/>
        <v>10499.998904162201</v>
      </c>
      <c r="F106" s="11">
        <f t="shared" si="8"/>
        <v>1.0958377988572465E-3</v>
      </c>
      <c r="G106" s="11">
        <f t="shared" si="9"/>
        <v>69999.991598576875</v>
      </c>
      <c r="H106" s="12"/>
    </row>
    <row r="107" spans="1:8" x14ac:dyDescent="0.35">
      <c r="A107" s="5">
        <f t="shared" si="5"/>
        <v>87</v>
      </c>
      <c r="B107" s="6">
        <f t="shared" si="6"/>
        <v>77067</v>
      </c>
      <c r="C107" s="10" cm="1">
        <f t="array" ref="C107">IF(A107="", "",
   IF(A107=1,
      SUMPRODUCT($D$21:INDEX($D:$D, 20+$B$9)/(1+$B$8)^$A$21:INDEX($A:$A, 20+$B$9)),
      G106
   )
)</f>
        <v>69999.991598576875</v>
      </c>
      <c r="D107" s="4">
        <f t="array" ref="D107">IF($A107="", "",
   $B$7 *
   (1 + LOOKUP($A107, {1,6,11}, {0,0.03,0.05}))
)</f>
        <v>10500</v>
      </c>
      <c r="E107" s="11">
        <f t="shared" si="7"/>
        <v>10499.998739786532</v>
      </c>
      <c r="F107" s="11">
        <f t="shared" si="8"/>
        <v>1.2602134684129851E-3</v>
      </c>
      <c r="G107" s="11">
        <f t="shared" si="9"/>
        <v>69999.990338363408</v>
      </c>
      <c r="H107" s="12"/>
    </row>
    <row r="108" spans="1:8" x14ac:dyDescent="0.35">
      <c r="A108" s="5">
        <f t="shared" si="5"/>
        <v>88</v>
      </c>
      <c r="B108" s="6">
        <f t="shared" si="6"/>
        <v>77432</v>
      </c>
      <c r="C108" s="10" cm="1">
        <f t="array" ref="C108">IF(A108="", "",
   IF(A108=1,
      SUMPRODUCT($D$21:INDEX($D:$D, 20+$B$9)/(1+$B$8)^$A$21:INDEX($A:$A, 20+$B$9)),
      G107
   )
)</f>
        <v>69999.990338363408</v>
      </c>
      <c r="D108" s="4">
        <f t="array" ref="D108">IF($A108="", "",
   $B$7 *
   (1 + LOOKUP($A108, {1,6,11}, {0,0.03,0.05}))
)</f>
        <v>10500</v>
      </c>
      <c r="E108" s="11">
        <f t="shared" si="7"/>
        <v>10499.998550754512</v>
      </c>
      <c r="F108" s="11">
        <f t="shared" si="8"/>
        <v>1.4492454884020844E-3</v>
      </c>
      <c r="G108" s="11">
        <f t="shared" si="9"/>
        <v>69999.988889117914</v>
      </c>
      <c r="H108" s="12"/>
    </row>
    <row r="109" spans="1:8" x14ac:dyDescent="0.35">
      <c r="A109" s="5">
        <f t="shared" si="5"/>
        <v>89</v>
      </c>
      <c r="B109" s="6">
        <f t="shared" si="6"/>
        <v>77798</v>
      </c>
      <c r="C109" s="10" cm="1">
        <f t="array" ref="C109">IF(A109="", "",
   IF(A109=1,
      SUMPRODUCT($D$21:INDEX($D:$D, 20+$B$9)/(1+$B$8)^$A$21:INDEX($A:$A, 20+$B$9)),
      G108
   )
)</f>
        <v>69999.988889117914</v>
      </c>
      <c r="D109" s="4">
        <f t="array" ref="D109">IF($A109="", "",
   $B$7 *
   (1 + LOOKUP($A109, {1,6,11}, {0,0.03,0.05}))
)</f>
        <v>10500</v>
      </c>
      <c r="E109" s="11">
        <f t="shared" si="7"/>
        <v>10499.998333367686</v>
      </c>
      <c r="F109" s="11">
        <f t="shared" si="8"/>
        <v>1.666632313572336E-3</v>
      </c>
      <c r="G109" s="11">
        <f t="shared" si="9"/>
        <v>69999.987222485594</v>
      </c>
      <c r="H109" s="12"/>
    </row>
    <row r="110" spans="1:8" x14ac:dyDescent="0.35">
      <c r="A110" s="5">
        <f t="shared" si="5"/>
        <v>90</v>
      </c>
      <c r="B110" s="6">
        <f t="shared" si="6"/>
        <v>78163</v>
      </c>
      <c r="C110" s="10" cm="1">
        <f t="array" ref="C110">IF(A110="", "",
   IF(A110=1,
      SUMPRODUCT($D$21:INDEX($D:$D, 20+$B$9)/(1+$B$8)^$A$21:INDEX($A:$A, 20+$B$9)),
      G109
   )
)</f>
        <v>69999.987222485594</v>
      </c>
      <c r="D110" s="4">
        <f t="array" ref="D110">IF($A110="", "",
   $B$7 *
   (1 + LOOKUP($A110, {1,6,11}, {0,0.03,0.05}))
)</f>
        <v>10500</v>
      </c>
      <c r="E110" s="11">
        <f t="shared" si="7"/>
        <v>10499.998083372839</v>
      </c>
      <c r="F110" s="11">
        <f t="shared" si="8"/>
        <v>1.9166271613357821E-3</v>
      </c>
      <c r="G110" s="11">
        <f t="shared" si="9"/>
        <v>69999.985305858427</v>
      </c>
      <c r="H110" s="12"/>
    </row>
    <row r="111" spans="1:8" x14ac:dyDescent="0.35">
      <c r="A111" s="5">
        <f t="shared" si="5"/>
        <v>91</v>
      </c>
      <c r="B111" s="6">
        <f t="shared" si="6"/>
        <v>78528</v>
      </c>
      <c r="C111" s="10" cm="1">
        <f t="array" ref="C111">IF(A111="", "",
   IF(A111=1,
      SUMPRODUCT($D$21:INDEX($D:$D, 20+$B$9)/(1+$B$8)^$A$21:INDEX($A:$A, 20+$B$9)),
      G110
   )
)</f>
        <v>69999.985305858427</v>
      </c>
      <c r="D111" s="4">
        <f t="array" ref="D111">IF($A111="", "",
   $B$7 *
   (1 + LOOKUP($A111, {1,6,11}, {0,0.03,0.05}))
)</f>
        <v>10500</v>
      </c>
      <c r="E111" s="11">
        <f t="shared" si="7"/>
        <v>10499.997795878764</v>
      </c>
      <c r="F111" s="11">
        <f t="shared" si="8"/>
        <v>2.2041212359908968E-3</v>
      </c>
      <c r="G111" s="11">
        <f t="shared" si="9"/>
        <v>69999.983101737191</v>
      </c>
      <c r="H111" s="12"/>
    </row>
    <row r="112" spans="1:8" x14ac:dyDescent="0.35">
      <c r="A112" s="5">
        <f t="shared" si="5"/>
        <v>92</v>
      </c>
      <c r="B112" s="6">
        <f t="shared" si="6"/>
        <v>78893</v>
      </c>
      <c r="C112" s="10" cm="1">
        <f t="array" ref="C112">IF(A112="", "",
   IF(A112=1,
      SUMPRODUCT($D$21:INDEX($D:$D, 20+$B$9)/(1+$B$8)^$A$21:INDEX($A:$A, 20+$B$9)),
      G111
   )
)</f>
        <v>69999.983101737191</v>
      </c>
      <c r="D112" s="4">
        <f t="array" ref="D112">IF($A112="", "",
   $B$7 *
   (1 + LOOKUP($A112, {1,6,11}, {0,0.03,0.05}))
)</f>
        <v>10500</v>
      </c>
      <c r="E112" s="11">
        <f t="shared" si="7"/>
        <v>10499.997465260578</v>
      </c>
      <c r="F112" s="11">
        <f t="shared" si="8"/>
        <v>2.5347394221171271E-3</v>
      </c>
      <c r="G112" s="11">
        <f t="shared" si="9"/>
        <v>69999.980566997765</v>
      </c>
      <c r="H112" s="12"/>
    </row>
    <row r="113" spans="1:8" x14ac:dyDescent="0.35">
      <c r="A113" s="5">
        <f t="shared" si="5"/>
        <v>93</v>
      </c>
      <c r="B113" s="6">
        <f t="shared" si="6"/>
        <v>79259</v>
      </c>
      <c r="C113" s="10" cm="1">
        <f t="array" ref="C113">IF(A113="", "",
   IF(A113=1,
      SUMPRODUCT($D$21:INDEX($D:$D, 20+$B$9)/(1+$B$8)^$A$21:INDEX($A:$A, 20+$B$9)),
      G112
   )
)</f>
        <v>69999.980566997765</v>
      </c>
      <c r="D113" s="4">
        <f t="array" ref="D113">IF($A113="", "",
   $B$7 *
   (1 + LOOKUP($A113, {1,6,11}, {0,0.03,0.05}))
)</f>
        <v>10500</v>
      </c>
      <c r="E113" s="11">
        <f t="shared" si="7"/>
        <v>10499.997085049665</v>
      </c>
      <c r="F113" s="11">
        <f t="shared" si="8"/>
        <v>2.9149503352527972E-3</v>
      </c>
      <c r="G113" s="11">
        <f t="shared" si="9"/>
        <v>69999.977652047426</v>
      </c>
      <c r="H113" s="12"/>
    </row>
    <row r="114" spans="1:8" x14ac:dyDescent="0.35">
      <c r="A114" s="5">
        <f t="shared" si="5"/>
        <v>94</v>
      </c>
      <c r="B114" s="6">
        <f t="shared" si="6"/>
        <v>79624</v>
      </c>
      <c r="C114" s="10" cm="1">
        <f t="array" ref="C114">IF(A114="", "",
   IF(A114=1,
      SUMPRODUCT($D$21:INDEX($D:$D, 20+$B$9)/(1+$B$8)^$A$21:INDEX($A:$A, 20+$B$9)),
      G113
   )
)</f>
        <v>69999.977652047426</v>
      </c>
      <c r="D114" s="4">
        <f t="array" ref="D114">IF($A114="", "",
   $B$7 *
   (1 + LOOKUP($A114, {1,6,11}, {0,0.03,0.05}))
)</f>
        <v>10500</v>
      </c>
      <c r="E114" s="11">
        <f t="shared" si="7"/>
        <v>10499.996647807113</v>
      </c>
      <c r="F114" s="11">
        <f t="shared" si="8"/>
        <v>3.3521928871778073E-3</v>
      </c>
      <c r="G114" s="11">
        <f t="shared" si="9"/>
        <v>69999.974299854541</v>
      </c>
      <c r="H114" s="12"/>
    </row>
    <row r="115" spans="1:8" x14ac:dyDescent="0.35">
      <c r="A115" s="5">
        <f t="shared" si="5"/>
        <v>95</v>
      </c>
      <c r="B115" s="6">
        <f t="shared" si="6"/>
        <v>79989</v>
      </c>
      <c r="C115" s="10" cm="1">
        <f t="array" ref="C115">IF(A115="", "",
   IF(A115=1,
      SUMPRODUCT($D$21:INDEX($D:$D, 20+$B$9)/(1+$B$8)^$A$21:INDEX($A:$A, 20+$B$9)),
      G114
   )
)</f>
        <v>69999.974299854541</v>
      </c>
      <c r="D115" s="4">
        <f t="array" ref="D115">IF($A115="", "",
   $B$7 *
   (1 + LOOKUP($A115, {1,6,11}, {0,0.03,0.05}))
)</f>
        <v>10500</v>
      </c>
      <c r="E115" s="11">
        <f t="shared" si="7"/>
        <v>10499.99614497818</v>
      </c>
      <c r="F115" s="11">
        <f t="shared" si="8"/>
        <v>3.8550218196178321E-3</v>
      </c>
      <c r="G115" s="11">
        <f t="shared" si="9"/>
        <v>69999.970444832725</v>
      </c>
      <c r="H115" s="12"/>
    </row>
    <row r="116" spans="1:8" x14ac:dyDescent="0.35">
      <c r="A116" s="5">
        <f t="shared" si="5"/>
        <v>96</v>
      </c>
      <c r="B116" s="6">
        <f t="shared" si="6"/>
        <v>80354</v>
      </c>
      <c r="C116" s="10" cm="1">
        <f t="array" ref="C116">IF(A116="", "",
   IF(A116=1,
      SUMPRODUCT($D$21:INDEX($D:$D, 20+$B$9)/(1+$B$8)^$A$21:INDEX($A:$A, 20+$B$9)),
      G115
   )
)</f>
        <v>69999.970444832725</v>
      </c>
      <c r="D116" s="4">
        <f t="array" ref="D116">IF($A116="", "",
   $B$7 *
   (1 + LOOKUP($A116, {1,6,11}, {0,0.03,0.05}))
)</f>
        <v>10500</v>
      </c>
      <c r="E116" s="11">
        <f t="shared" si="7"/>
        <v>10499.995566724909</v>
      </c>
      <c r="F116" s="11">
        <f t="shared" si="8"/>
        <v>4.4332750912872143E-3</v>
      </c>
      <c r="G116" s="11">
        <f t="shared" si="9"/>
        <v>69999.966011557641</v>
      </c>
      <c r="H116" s="12"/>
    </row>
    <row r="117" spans="1:8" x14ac:dyDescent="0.35">
      <c r="A117" s="5">
        <f t="shared" si="5"/>
        <v>97</v>
      </c>
      <c r="B117" s="6">
        <f t="shared" si="6"/>
        <v>80720</v>
      </c>
      <c r="C117" s="10" cm="1">
        <f t="array" ref="C117">IF(A117="", "",
   IF(A117=1,
      SUMPRODUCT($D$21:INDEX($D:$D, 20+$B$9)/(1+$B$8)^$A$21:INDEX($A:$A, 20+$B$9)),
      G116
   )
)</f>
        <v>69999.966011557641</v>
      </c>
      <c r="D117" s="4">
        <f t="array" ref="D117">IF($A117="", "",
   $B$7 *
   (1 + LOOKUP($A117, {1,6,11}, {0,0.03,0.05}))
)</f>
        <v>10500</v>
      </c>
      <c r="E117" s="11">
        <f t="shared" si="7"/>
        <v>10499.994901733646</v>
      </c>
      <c r="F117" s="11">
        <f t="shared" si="8"/>
        <v>5.0982663542527007E-3</v>
      </c>
      <c r="G117" s="11">
        <f t="shared" si="9"/>
        <v>69999.960913291288</v>
      </c>
      <c r="H117" s="12"/>
    </row>
    <row r="118" spans="1:8" x14ac:dyDescent="0.35">
      <c r="A118" s="5">
        <f t="shared" si="5"/>
        <v>98</v>
      </c>
      <c r="B118" s="6">
        <f t="shared" si="6"/>
        <v>81085</v>
      </c>
      <c r="C118" s="10" cm="1">
        <f t="array" ref="C118">IF(A118="", "",
   IF(A118=1,
      SUMPRODUCT($D$21:INDEX($D:$D, 20+$B$9)/(1+$B$8)^$A$21:INDEX($A:$A, 20+$B$9)),
      G117
   )
)</f>
        <v>69999.960913291288</v>
      </c>
      <c r="D118" s="4">
        <f t="array" ref="D118">IF($A118="", "",
   $B$7 *
   (1 + LOOKUP($A118, {1,6,11}, {0,0.03,0.05}))
)</f>
        <v>10500</v>
      </c>
      <c r="E118" s="11">
        <f t="shared" si="7"/>
        <v>10499.994136993693</v>
      </c>
      <c r="F118" s="11">
        <f t="shared" si="8"/>
        <v>5.8630063067539595E-3</v>
      </c>
      <c r="G118" s="11">
        <f t="shared" si="9"/>
        <v>69999.955050284974</v>
      </c>
      <c r="H118" s="12"/>
    </row>
    <row r="119" spans="1:8" x14ac:dyDescent="0.35">
      <c r="A119" s="5">
        <f t="shared" si="5"/>
        <v>99</v>
      </c>
      <c r="B119" s="6">
        <f t="shared" si="6"/>
        <v>81450</v>
      </c>
      <c r="C119" s="10" cm="1">
        <f t="array" ref="C119">IF(A119="", "",
   IF(A119=1,
      SUMPRODUCT($D$21:INDEX($D:$D, 20+$B$9)/(1+$B$8)^$A$21:INDEX($A:$A, 20+$B$9)),
      G118
   )
)</f>
        <v>69999.955050284974</v>
      </c>
      <c r="D119" s="4">
        <f t="array" ref="D119">IF($A119="", "",
   $B$7 *
   (1 + LOOKUP($A119, {1,6,11}, {0,0.03,0.05}))
)</f>
        <v>10500</v>
      </c>
      <c r="E119" s="11">
        <f t="shared" si="7"/>
        <v>10499.993257542747</v>
      </c>
      <c r="F119" s="11">
        <f t="shared" si="8"/>
        <v>6.7424572534946492E-3</v>
      </c>
      <c r="G119" s="11">
        <f t="shared" si="9"/>
        <v>69999.948307827726</v>
      </c>
      <c r="H119" s="12"/>
    </row>
    <row r="120" spans="1:8" x14ac:dyDescent="0.35">
      <c r="A120" s="5">
        <f t="shared" si="5"/>
        <v>100</v>
      </c>
      <c r="B120" s="6">
        <f t="shared" si="6"/>
        <v>81815</v>
      </c>
      <c r="C120" s="10" cm="1">
        <f t="array" ref="C120">IF(A120="", "",
   IF(A120=1,
      SUMPRODUCT($D$21:INDEX($D:$D, 20+$B$9)/(1+$B$8)^$A$21:INDEX($A:$A, 20+$B$9)),
      G119
   )
)</f>
        <v>69999.948307827726</v>
      </c>
      <c r="D120" s="4">
        <f t="array" ref="D120">IF($A120="", "",
   $B$7 *
   (1 + LOOKUP($A120, {1,6,11}, {0,0.03,0.05}))
)</f>
        <v>10500</v>
      </c>
      <c r="E120" s="11">
        <f t="shared" si="7"/>
        <v>10499.992246174159</v>
      </c>
      <c r="F120" s="11">
        <f t="shared" si="8"/>
        <v>7.7538258410640992E-3</v>
      </c>
      <c r="G120" s="11">
        <f t="shared" si="9"/>
        <v>69999.940554001892</v>
      </c>
      <c r="H120" s="12"/>
    </row>
    <row r="121" spans="1:8" x14ac:dyDescent="0.35">
      <c r="A121" s="5">
        <f t="shared" si="5"/>
        <v>101</v>
      </c>
      <c r="B121" s="6">
        <f t="shared" si="6"/>
        <v>82181</v>
      </c>
      <c r="C121" s="10" cm="1">
        <f t="array" ref="C121">IF(A121="", "",
   IF(A121=1,
      SUMPRODUCT($D$21:INDEX($D:$D, 20+$B$9)/(1+$B$8)^$A$21:INDEX($A:$A, 20+$B$9)),
      G120
   )
)</f>
        <v>69999.940554001892</v>
      </c>
      <c r="D121" s="4">
        <f t="array" ref="D121">IF($A121="", "",
   $B$7 *
   (1 + LOOKUP($A121, {1,6,11}, {0,0.03,0.05}))
)</f>
        <v>10500</v>
      </c>
      <c r="E121" s="11">
        <f t="shared" si="7"/>
        <v>10499.991083100284</v>
      </c>
      <c r="F121" s="11">
        <f t="shared" si="8"/>
        <v>8.9168997164961183E-3</v>
      </c>
      <c r="G121" s="11">
        <f t="shared" si="9"/>
        <v>69999.93163710217</v>
      </c>
      <c r="H121" s="12"/>
    </row>
    <row r="122" spans="1:8" x14ac:dyDescent="0.35">
      <c r="A122" s="5">
        <f t="shared" si="5"/>
        <v>102</v>
      </c>
      <c r="B122" s="6">
        <f t="shared" si="6"/>
        <v>82546</v>
      </c>
      <c r="C122" s="10" cm="1">
        <f t="array" ref="C122">IF(A122="", "",
   IF(A122=1,
      SUMPRODUCT($D$21:INDEX($D:$D, 20+$B$9)/(1+$B$8)^$A$21:INDEX($A:$A, 20+$B$9)),
      G121
   )
)</f>
        <v>69999.93163710217</v>
      </c>
      <c r="D122" s="4">
        <f t="array" ref="D122">IF($A122="", "",
   $B$7 *
   (1 + LOOKUP($A122, {1,6,11}, {0,0.03,0.05}))
)</f>
        <v>10500</v>
      </c>
      <c r="E122" s="11">
        <f t="shared" si="7"/>
        <v>10499.989745565324</v>
      </c>
      <c r="F122" s="11">
        <f t="shared" si="8"/>
        <v>1.0254434675516677E-2</v>
      </c>
      <c r="G122" s="11">
        <f t="shared" si="9"/>
        <v>69999.921382667497</v>
      </c>
      <c r="H122" s="12"/>
    </row>
    <row r="123" spans="1:8" x14ac:dyDescent="0.35">
      <c r="A123" s="5">
        <f t="shared" si="5"/>
        <v>103</v>
      </c>
      <c r="B123" s="6">
        <f t="shared" si="6"/>
        <v>82911</v>
      </c>
      <c r="C123" s="10" cm="1">
        <f t="array" ref="C123">IF(A123="", "",
   IF(A123=1,
      SUMPRODUCT($D$21:INDEX($D:$D, 20+$B$9)/(1+$B$8)^$A$21:INDEX($A:$A, 20+$B$9)),
      G122
   )
)</f>
        <v>69999.921382667497</v>
      </c>
      <c r="D123" s="4">
        <f t="array" ref="D123">IF($A123="", "",
   $B$7 *
   (1 + LOOKUP($A123, {1,6,11}, {0,0.03,0.05}))
)</f>
        <v>10500</v>
      </c>
      <c r="E123" s="11">
        <f t="shared" si="7"/>
        <v>10499.988207400123</v>
      </c>
      <c r="F123" s="11">
        <f t="shared" si="8"/>
        <v>1.179259987657133E-2</v>
      </c>
      <c r="G123" s="11">
        <f t="shared" si="9"/>
        <v>69999.909590067618</v>
      </c>
      <c r="H123" s="12"/>
    </row>
    <row r="124" spans="1:8" x14ac:dyDescent="0.35">
      <c r="A124" s="5">
        <f t="shared" si="5"/>
        <v>104</v>
      </c>
      <c r="B124" s="6">
        <f t="shared" si="6"/>
        <v>83276</v>
      </c>
      <c r="C124" s="10" cm="1">
        <f t="array" ref="C124">IF(A124="", "",
   IF(A124=1,
      SUMPRODUCT($D$21:INDEX($D:$D, 20+$B$9)/(1+$B$8)^$A$21:INDEX($A:$A, 20+$B$9)),
      G123
   )
)</f>
        <v>69999.909590067618</v>
      </c>
      <c r="D124" s="4">
        <f t="array" ref="D124">IF($A124="", "",
   $B$7 *
   (1 + LOOKUP($A124, {1,6,11}, {0,0.03,0.05}))
)</f>
        <v>10500</v>
      </c>
      <c r="E124" s="11">
        <f t="shared" si="7"/>
        <v>10499.986438510143</v>
      </c>
      <c r="F124" s="11">
        <f t="shared" si="8"/>
        <v>1.3561489857238485E-2</v>
      </c>
      <c r="G124" s="11">
        <f t="shared" si="9"/>
        <v>69999.896028577758</v>
      </c>
      <c r="H124" s="12"/>
    </row>
    <row r="125" spans="1:8" x14ac:dyDescent="0.35">
      <c r="A125" s="5">
        <f t="shared" si="5"/>
        <v>105</v>
      </c>
      <c r="B125" s="6">
        <f t="shared" si="6"/>
        <v>83642</v>
      </c>
      <c r="C125" s="10" cm="1">
        <f t="array" ref="C125">IF(A125="", "",
   IF(A125=1,
      SUMPRODUCT($D$21:INDEX($D:$D, 20+$B$9)/(1+$B$8)^$A$21:INDEX($A:$A, 20+$B$9)),
      G124
   )
)</f>
        <v>69999.896028577758</v>
      </c>
      <c r="D125" s="4">
        <f t="array" ref="D125">IF($A125="", "",
   $B$7 *
   (1 + LOOKUP($A125, {1,6,11}, {0,0.03,0.05}))
)</f>
        <v>10500</v>
      </c>
      <c r="E125" s="11">
        <f t="shared" si="7"/>
        <v>10499.984404286663</v>
      </c>
      <c r="F125" s="11">
        <f t="shared" si="8"/>
        <v>1.5595713337461348E-2</v>
      </c>
      <c r="G125" s="11">
        <f t="shared" si="9"/>
        <v>69999.880432864418</v>
      </c>
      <c r="H125" s="12"/>
    </row>
    <row r="126" spans="1:8" x14ac:dyDescent="0.35">
      <c r="A126" s="5">
        <f t="shared" si="5"/>
        <v>106</v>
      </c>
      <c r="B126" s="6">
        <f t="shared" si="6"/>
        <v>84007</v>
      </c>
      <c r="C126" s="10" cm="1">
        <f t="array" ref="C126">IF(A126="", "",
   IF(A126=1,
      SUMPRODUCT($D$21:INDEX($D:$D, 20+$B$9)/(1+$B$8)^$A$21:INDEX($A:$A, 20+$B$9)),
      G125
   )
)</f>
        <v>69999.880432864418</v>
      </c>
      <c r="D126" s="4">
        <f t="array" ref="D126">IF($A126="", "",
   $B$7 *
   (1 + LOOKUP($A126, {1,6,11}, {0,0.03,0.05}))
)</f>
        <v>10500</v>
      </c>
      <c r="E126" s="11">
        <f t="shared" si="7"/>
        <v>10499.982064929662</v>
      </c>
      <c r="F126" s="11">
        <f t="shared" si="8"/>
        <v>1.7935070338353398E-2</v>
      </c>
      <c r="G126" s="11">
        <f t="shared" si="9"/>
        <v>69999.862497794078</v>
      </c>
      <c r="H126" s="12"/>
    </row>
    <row r="127" spans="1:8" x14ac:dyDescent="0.35">
      <c r="A127" s="5">
        <f t="shared" si="5"/>
        <v>107</v>
      </c>
      <c r="B127" s="6">
        <f t="shared" si="6"/>
        <v>84372</v>
      </c>
      <c r="C127" s="10" cm="1">
        <f t="array" ref="C127">IF(A127="", "",
   IF(A127=1,
      SUMPRODUCT($D$21:INDEX($D:$D, 20+$B$9)/(1+$B$8)^$A$21:INDEX($A:$A, 20+$B$9)),
      G126
   )
)</f>
        <v>69999.862497794078</v>
      </c>
      <c r="D127" s="4">
        <f t="array" ref="D127">IF($A127="", "",
   $B$7 *
   (1 + LOOKUP($A127, {1,6,11}, {0,0.03,0.05}))
)</f>
        <v>10500</v>
      </c>
      <c r="E127" s="11">
        <f t="shared" si="7"/>
        <v>10499.979374669112</v>
      </c>
      <c r="F127" s="11">
        <f t="shared" si="8"/>
        <v>2.0625330887924065E-2</v>
      </c>
      <c r="G127" s="11">
        <f t="shared" si="9"/>
        <v>69999.841872463192</v>
      </c>
      <c r="H127" s="12"/>
    </row>
    <row r="128" spans="1:8" x14ac:dyDescent="0.35">
      <c r="A128" s="5">
        <f t="shared" si="5"/>
        <v>108</v>
      </c>
      <c r="B128" s="6">
        <f t="shared" si="6"/>
        <v>84737</v>
      </c>
      <c r="C128" s="10" cm="1">
        <f t="array" ref="C128">IF(A128="", "",
   IF(A128=1,
      SUMPRODUCT($D$21:INDEX($D:$D, 20+$B$9)/(1+$B$8)^$A$21:INDEX($A:$A, 20+$B$9)),
      G127
   )
)</f>
        <v>69999.841872463192</v>
      </c>
      <c r="D128" s="4">
        <f t="array" ref="D128">IF($A128="", "",
   $B$7 *
   (1 + LOOKUP($A128, {1,6,11}, {0,0.03,0.05}))
)</f>
        <v>10500</v>
      </c>
      <c r="E128" s="11">
        <f t="shared" si="7"/>
        <v>10499.976280869478</v>
      </c>
      <c r="F128" s="11">
        <f t="shared" si="8"/>
        <v>2.3719130522295018E-2</v>
      </c>
      <c r="G128" s="11">
        <f t="shared" si="9"/>
        <v>69999.818153332671</v>
      </c>
      <c r="H128" s="12"/>
    </row>
    <row r="129" spans="1:8" x14ac:dyDescent="0.35">
      <c r="A129" s="5">
        <f t="shared" si="5"/>
        <v>109</v>
      </c>
      <c r="B129" s="6">
        <f t="shared" si="6"/>
        <v>85103</v>
      </c>
      <c r="C129" s="10" cm="1">
        <f t="array" ref="C129">IF(A129="", "",
   IF(A129=1,
      SUMPRODUCT($D$21:INDEX($D:$D, 20+$B$9)/(1+$B$8)^$A$21:INDEX($A:$A, 20+$B$9)),
      G128
   )
)</f>
        <v>69999.818153332671</v>
      </c>
      <c r="D129" s="4">
        <f t="array" ref="D129">IF($A129="", "",
   $B$7 *
   (1 + LOOKUP($A129, {1,6,11}, {0,0.03,0.05}))
)</f>
        <v>10500</v>
      </c>
      <c r="E129" s="11">
        <f t="shared" si="7"/>
        <v>10499.972722999901</v>
      </c>
      <c r="F129" s="11">
        <f t="shared" si="8"/>
        <v>2.7277000099275028E-2</v>
      </c>
      <c r="G129" s="11">
        <f t="shared" si="9"/>
        <v>69999.790876332569</v>
      </c>
      <c r="H129" s="12"/>
    </row>
    <row r="130" spans="1:8" x14ac:dyDescent="0.35">
      <c r="A130" s="5">
        <f t="shared" si="5"/>
        <v>110</v>
      </c>
      <c r="B130" s="6">
        <f t="shared" si="6"/>
        <v>85468</v>
      </c>
      <c r="C130" s="10" cm="1">
        <f t="array" ref="C130">IF(A130="", "",
   IF(A130=1,
      SUMPRODUCT($D$21:INDEX($D:$D, 20+$B$9)/(1+$B$8)^$A$21:INDEX($A:$A, 20+$B$9)),
      G129
   )
)</f>
        <v>69999.790876332569</v>
      </c>
      <c r="D130" s="4">
        <f t="array" ref="D130">IF($A130="", "",
   $B$7 *
   (1 + LOOKUP($A130, {1,6,11}, {0,0.03,0.05}))
)</f>
        <v>10500</v>
      </c>
      <c r="E130" s="11">
        <f t="shared" si="7"/>
        <v>10499.968631449885</v>
      </c>
      <c r="F130" s="11">
        <f t="shared" si="8"/>
        <v>3.1368550115075777E-2</v>
      </c>
      <c r="G130" s="11">
        <f t="shared" si="9"/>
        <v>69999.759507782452</v>
      </c>
      <c r="H130" s="12"/>
    </row>
    <row r="131" spans="1:8" x14ac:dyDescent="0.35">
      <c r="A131" s="5">
        <f t="shared" si="5"/>
        <v>111</v>
      </c>
      <c r="B131" s="6">
        <f t="shared" si="6"/>
        <v>85833</v>
      </c>
      <c r="C131" s="10" cm="1">
        <f t="array" ref="C131">IF(A131="", "",
   IF(A131=1,
      SUMPRODUCT($D$21:INDEX($D:$D, 20+$B$9)/(1+$B$8)^$A$21:INDEX($A:$A, 20+$B$9)),
      G130
   )
)</f>
        <v>69999.759507782452</v>
      </c>
      <c r="D131" s="4">
        <f t="array" ref="D131">IF($A131="", "",
   $B$7 *
   (1 + LOOKUP($A131, {1,6,11}, {0,0.03,0.05}))
)</f>
        <v>10500</v>
      </c>
      <c r="E131" s="11">
        <f t="shared" si="7"/>
        <v>10499.963926167367</v>
      </c>
      <c r="F131" s="11">
        <f t="shared" si="8"/>
        <v>3.6073832632609992E-2</v>
      </c>
      <c r="G131" s="11">
        <f t="shared" si="9"/>
        <v>69999.723433949825</v>
      </c>
      <c r="H131" s="12"/>
    </row>
    <row r="132" spans="1:8" x14ac:dyDescent="0.35">
      <c r="A132" s="5">
        <f t="shared" si="5"/>
        <v>112</v>
      </c>
      <c r="B132" s="6">
        <f t="shared" si="6"/>
        <v>86198</v>
      </c>
      <c r="C132" s="10" cm="1">
        <f t="array" ref="C132">IF(A132="", "",
   IF(A132=1,
      SUMPRODUCT($D$21:INDEX($D:$D, 20+$B$9)/(1+$B$8)^$A$21:INDEX($A:$A, 20+$B$9)),
      G131
   )
)</f>
        <v>69999.723433949825</v>
      </c>
      <c r="D132" s="4">
        <f t="array" ref="D132">IF($A132="", "",
   $B$7 *
   (1 + LOOKUP($A132, {1,6,11}, {0,0.03,0.05}))
)</f>
        <v>10500</v>
      </c>
      <c r="E132" s="11">
        <f t="shared" si="7"/>
        <v>10499.958515092474</v>
      </c>
      <c r="F132" s="11">
        <f t="shared" si="8"/>
        <v>4.148490752595535E-2</v>
      </c>
      <c r="G132" s="11">
        <f t="shared" si="9"/>
        <v>69999.681949042293</v>
      </c>
      <c r="H132" s="12"/>
    </row>
    <row r="133" spans="1:8" x14ac:dyDescent="0.35">
      <c r="A133" s="5">
        <f t="shared" si="5"/>
        <v>113</v>
      </c>
      <c r="B133" s="6">
        <f t="shared" si="6"/>
        <v>86564</v>
      </c>
      <c r="C133" s="10" cm="1">
        <f t="array" ref="C133">IF(A133="", "",
   IF(A133=1,
      SUMPRODUCT($D$21:INDEX($D:$D, 20+$B$9)/(1+$B$8)^$A$21:INDEX($A:$A, 20+$B$9)),
      G132
   )
)</f>
        <v>69999.681949042293</v>
      </c>
      <c r="D133" s="4">
        <f t="array" ref="D133">IF($A133="", "",
   $B$7 *
   (1 + LOOKUP($A133, {1,6,11}, {0,0.03,0.05}))
)</f>
        <v>10500</v>
      </c>
      <c r="E133" s="11">
        <f t="shared" si="7"/>
        <v>10499.952292356344</v>
      </c>
      <c r="F133" s="11">
        <f t="shared" si="8"/>
        <v>4.7707643656394794E-2</v>
      </c>
      <c r="G133" s="11">
        <f t="shared" si="9"/>
        <v>69999.634241398642</v>
      </c>
      <c r="H133" s="12"/>
    </row>
    <row r="134" spans="1:8" x14ac:dyDescent="0.35">
      <c r="A134" s="5">
        <f t="shared" si="5"/>
        <v>114</v>
      </c>
      <c r="B134" s="6">
        <f t="shared" si="6"/>
        <v>86929</v>
      </c>
      <c r="C134" s="10" cm="1">
        <f t="array" ref="C134">IF(A134="", "",
   IF(A134=1,
      SUMPRODUCT($D$21:INDEX($D:$D, 20+$B$9)/(1+$B$8)^$A$21:INDEX($A:$A, 20+$B$9)),
      G133
   )
)</f>
        <v>69999.634241398642</v>
      </c>
      <c r="D134" s="4">
        <f t="array" ref="D134">IF($A134="", "",
   $B$7 *
   (1 + LOOKUP($A134, {1,6,11}, {0,0.03,0.05}))
)</f>
        <v>10500</v>
      </c>
      <c r="E134" s="11">
        <f t="shared" si="7"/>
        <v>10499.945136209795</v>
      </c>
      <c r="F134" s="11">
        <f t="shared" si="8"/>
        <v>5.4863790204763063E-2</v>
      </c>
      <c r="G134" s="11">
        <f t="shared" si="9"/>
        <v>69999.579377608432</v>
      </c>
      <c r="H134" s="12"/>
    </row>
    <row r="135" spans="1:8" x14ac:dyDescent="0.35">
      <c r="A135" s="5">
        <f t="shared" si="5"/>
        <v>115</v>
      </c>
      <c r="B135" s="6">
        <f t="shared" si="6"/>
        <v>87294</v>
      </c>
      <c r="C135" s="10" cm="1">
        <f t="array" ref="C135">IF(A135="", "",
   IF(A135=1,
      SUMPRODUCT($D$21:INDEX($D:$D, 20+$B$9)/(1+$B$8)^$A$21:INDEX($A:$A, 20+$B$9)),
      G134
   )
)</f>
        <v>69999.579377608432</v>
      </c>
      <c r="D135" s="4">
        <f t="array" ref="D135">IF($A135="", "",
   $B$7 *
   (1 + LOOKUP($A135, {1,6,11}, {0,0.03,0.05}))
)</f>
        <v>10500</v>
      </c>
      <c r="E135" s="11">
        <f t="shared" si="7"/>
        <v>10499.936906641264</v>
      </c>
      <c r="F135" s="11">
        <f t="shared" si="8"/>
        <v>6.3093358736296068E-2</v>
      </c>
      <c r="G135" s="11">
        <f t="shared" si="9"/>
        <v>69999.516284249694</v>
      </c>
      <c r="H135" s="12"/>
    </row>
    <row r="136" spans="1:8" x14ac:dyDescent="0.35">
      <c r="A136" s="5">
        <f t="shared" si="5"/>
        <v>116</v>
      </c>
      <c r="B136" s="6">
        <f t="shared" si="6"/>
        <v>87659</v>
      </c>
      <c r="C136" s="10" cm="1">
        <f t="array" ref="C136">IF(A136="", "",
   IF(A136=1,
      SUMPRODUCT($D$21:INDEX($D:$D, 20+$B$9)/(1+$B$8)^$A$21:INDEX($A:$A, 20+$B$9)),
      G135
   )
)</f>
        <v>69999.516284249694</v>
      </c>
      <c r="D136" s="4">
        <f t="array" ref="D136">IF($A136="", "",
   $B$7 *
   (1 + LOOKUP($A136, {1,6,11}, {0,0.03,0.05}))
)</f>
        <v>10500</v>
      </c>
      <c r="E136" s="11">
        <f t="shared" si="7"/>
        <v>10499.927442637454</v>
      </c>
      <c r="F136" s="11">
        <f t="shared" si="8"/>
        <v>7.2557362545921933E-2</v>
      </c>
      <c r="G136" s="11">
        <f t="shared" si="9"/>
        <v>69999.443726887141</v>
      </c>
      <c r="H136" s="12"/>
    </row>
    <row r="137" spans="1:8" x14ac:dyDescent="0.35">
      <c r="A137" s="5">
        <f t="shared" si="5"/>
        <v>117</v>
      </c>
      <c r="B137" s="6">
        <f t="shared" si="6"/>
        <v>88025</v>
      </c>
      <c r="C137" s="10" cm="1">
        <f t="array" ref="C137">IF(A137="", "",
   IF(A137=1,
      SUMPRODUCT($D$21:INDEX($D:$D, 20+$B$9)/(1+$B$8)^$A$21:INDEX($A:$A, 20+$B$9)),
      G136
   )
)</f>
        <v>69999.443726887141</v>
      </c>
      <c r="D137" s="4">
        <f t="array" ref="D137">IF($A137="", "",
   $B$7 *
   (1 + LOOKUP($A137, {1,6,11}, {0,0.03,0.05}))
)</f>
        <v>10500</v>
      </c>
      <c r="E137" s="11">
        <f t="shared" si="7"/>
        <v>10499.91655903307</v>
      </c>
      <c r="F137" s="11">
        <f t="shared" si="8"/>
        <v>8.3440966929629212E-2</v>
      </c>
      <c r="G137" s="11">
        <f t="shared" si="9"/>
        <v>69999.360285920207</v>
      </c>
      <c r="H137" s="12"/>
    </row>
    <row r="138" spans="1:8" x14ac:dyDescent="0.35">
      <c r="A138" s="5">
        <f t="shared" si="5"/>
        <v>118</v>
      </c>
      <c r="B138" s="6">
        <f t="shared" si="6"/>
        <v>88390</v>
      </c>
      <c r="C138" s="10" cm="1">
        <f t="array" ref="C138">IF(A138="", "",
   IF(A138=1,
      SUMPRODUCT($D$21:INDEX($D:$D, 20+$B$9)/(1+$B$8)^$A$21:INDEX($A:$A, 20+$B$9)),
      G137
   )
)</f>
        <v>69999.360285920207</v>
      </c>
      <c r="D138" s="4">
        <f t="array" ref="D138">IF($A138="", "",
   $B$7 *
   (1 + LOOKUP($A138, {1,6,11}, {0,0.03,0.05}))
)</f>
        <v>10500</v>
      </c>
      <c r="E138" s="11">
        <f t="shared" si="7"/>
        <v>10499.904042888031</v>
      </c>
      <c r="F138" s="11">
        <f t="shared" si="8"/>
        <v>9.5957111969255493E-2</v>
      </c>
      <c r="G138" s="11">
        <f t="shared" si="9"/>
        <v>69999.264328808233</v>
      </c>
      <c r="H138" s="12"/>
    </row>
    <row r="139" spans="1:8" x14ac:dyDescent="0.35">
      <c r="A139" s="5">
        <f t="shared" si="5"/>
        <v>119</v>
      </c>
      <c r="B139" s="6">
        <f t="shared" si="6"/>
        <v>88755</v>
      </c>
      <c r="C139" s="10" cm="1">
        <f t="array" ref="C139">IF(A139="", "",
   IF(A139=1,
      SUMPRODUCT($D$21:INDEX($D:$D, 20+$B$9)/(1+$B$8)^$A$21:INDEX($A:$A, 20+$B$9)),
      G138
   )
)</f>
        <v>69999.264328808233</v>
      </c>
      <c r="D139" s="4">
        <f t="array" ref="D139">IF($A139="", "",
   $B$7 *
   (1 + LOOKUP($A139, {1,6,11}, {0,0.03,0.05}))
)</f>
        <v>10500</v>
      </c>
      <c r="E139" s="11">
        <f t="shared" si="7"/>
        <v>10499.889649321234</v>
      </c>
      <c r="F139" s="11">
        <f t="shared" si="8"/>
        <v>0.11035067876582616</v>
      </c>
      <c r="G139" s="11">
        <f t="shared" si="9"/>
        <v>69999.15397812947</v>
      </c>
      <c r="H139" s="12"/>
    </row>
    <row r="140" spans="1:8" x14ac:dyDescent="0.35">
      <c r="A140" s="5">
        <f t="shared" si="5"/>
        <v>120</v>
      </c>
      <c r="B140" s="6">
        <f t="shared" si="6"/>
        <v>89120</v>
      </c>
      <c r="C140" s="10" cm="1">
        <f t="array" ref="C140">IF(A140="", "",
   IF(A140=1,
      SUMPRODUCT($D$21:INDEX($D:$D, 20+$B$9)/(1+$B$8)^$A$21:INDEX($A:$A, 20+$B$9)),
      G139
   )
)</f>
        <v>69999.15397812947</v>
      </c>
      <c r="D140" s="4">
        <f t="array" ref="D140">IF($A140="", "",
   $B$7 *
   (1 + LOOKUP($A140, {1,6,11}, {0,0.03,0.05}))
)</f>
        <v>10500</v>
      </c>
      <c r="E140" s="11">
        <f t="shared" si="7"/>
        <v>10499.873096719421</v>
      </c>
      <c r="F140" s="11">
        <f t="shared" si="8"/>
        <v>0.12690328057942679</v>
      </c>
      <c r="G140" s="11">
        <f t="shared" si="9"/>
        <v>69999.027074848884</v>
      </c>
      <c r="H140" s="12"/>
    </row>
    <row r="141" spans="1:8" x14ac:dyDescent="0.35">
      <c r="A141" s="5">
        <f t="shared" si="5"/>
        <v>121</v>
      </c>
      <c r="B141" s="6">
        <f t="shared" si="6"/>
        <v>89486</v>
      </c>
      <c r="C141" s="10" cm="1">
        <f t="array" ref="C141">IF(A141="", "",
   IF(A141=1,
      SUMPRODUCT($D$21:INDEX($D:$D, 20+$B$9)/(1+$B$8)^$A$21:INDEX($A:$A, 20+$B$9)),
      G140
   )
)</f>
        <v>69999.027074848884</v>
      </c>
      <c r="D141" s="4">
        <f t="array" ref="D141">IF($A141="", "",
   $B$7 *
   (1 + LOOKUP($A141, {1,6,11}, {0,0.03,0.05}))
)</f>
        <v>10500</v>
      </c>
      <c r="E141" s="11">
        <f t="shared" si="7"/>
        <v>10499.854061227332</v>
      </c>
      <c r="F141" s="11">
        <f t="shared" si="8"/>
        <v>0.1459387726681598</v>
      </c>
      <c r="G141" s="11">
        <f t="shared" si="9"/>
        <v>69998.881136076219</v>
      </c>
      <c r="H141" s="12"/>
    </row>
    <row r="142" spans="1:8" x14ac:dyDescent="0.35">
      <c r="A142" s="5">
        <f t="shared" si="5"/>
        <v>122</v>
      </c>
      <c r="B142" s="6">
        <f t="shared" si="6"/>
        <v>89851</v>
      </c>
      <c r="C142" s="10" cm="1">
        <f t="array" ref="C142">IF(A142="", "",
   IF(A142=1,
      SUMPRODUCT($D$21:INDEX($D:$D, 20+$B$9)/(1+$B$8)^$A$21:INDEX($A:$A, 20+$B$9)),
      G141
   )
)</f>
        <v>69998.881136076219</v>
      </c>
      <c r="D142" s="4">
        <f t="array" ref="D142">IF($A142="", "",
   $B$7 *
   (1 + LOOKUP($A142, {1,6,11}, {0,0.03,0.05}))
)</f>
        <v>10500</v>
      </c>
      <c r="E142" s="11">
        <f t="shared" si="7"/>
        <v>10499.832170411433</v>
      </c>
      <c r="F142" s="11">
        <f t="shared" si="8"/>
        <v>0.16782958856674668</v>
      </c>
      <c r="G142" s="11">
        <f t="shared" si="9"/>
        <v>69998.713306487654</v>
      </c>
      <c r="H142" s="12"/>
    </row>
    <row r="143" spans="1:8" x14ac:dyDescent="0.35">
      <c r="A143" s="5">
        <f t="shared" si="5"/>
        <v>123</v>
      </c>
      <c r="B143" s="6">
        <f t="shared" si="6"/>
        <v>90216</v>
      </c>
      <c r="C143" s="10" cm="1">
        <f t="array" ref="C143">IF(A143="", "",
   IF(A143=1,
      SUMPRODUCT($D$21:INDEX($D:$D, 20+$B$9)/(1+$B$8)^$A$21:INDEX($A:$A, 20+$B$9)),
      G142
   )
)</f>
        <v>69998.713306487654</v>
      </c>
      <c r="D143" s="4">
        <f t="array" ref="D143">IF($A143="", "",
   $B$7 *
   (1 + LOOKUP($A143, {1,6,11}, {0,0.03,0.05}))
)</f>
        <v>10500</v>
      </c>
      <c r="E143" s="11">
        <f t="shared" si="7"/>
        <v>10499.806995973147</v>
      </c>
      <c r="F143" s="11">
        <f t="shared" si="8"/>
        <v>0.19300402685257723</v>
      </c>
      <c r="G143" s="11">
        <f t="shared" si="9"/>
        <v>69998.520302460805</v>
      </c>
      <c r="H143" s="12"/>
    </row>
    <row r="144" spans="1:8" x14ac:dyDescent="0.35">
      <c r="A144" s="5">
        <f t="shared" si="5"/>
        <v>124</v>
      </c>
      <c r="B144" s="6">
        <f t="shared" si="6"/>
        <v>90581</v>
      </c>
      <c r="C144" s="10" cm="1">
        <f t="array" ref="C144">IF(A144="", "",
   IF(A144=1,
      SUMPRODUCT($D$21:INDEX($D:$D, 20+$B$9)/(1+$B$8)^$A$21:INDEX($A:$A, 20+$B$9)),
      G143
   )
)</f>
        <v>69998.520302460805</v>
      </c>
      <c r="D144" s="4">
        <f t="array" ref="D144">IF($A144="", "",
   $B$7 *
   (1 + LOOKUP($A144, {1,6,11}, {0,0.03,0.05}))
)</f>
        <v>10500</v>
      </c>
      <c r="E144" s="11">
        <f t="shared" si="7"/>
        <v>10499.778045369121</v>
      </c>
      <c r="F144" s="11">
        <f t="shared" si="8"/>
        <v>0.22195463087882672</v>
      </c>
      <c r="G144" s="11">
        <f t="shared" si="9"/>
        <v>69998.298347829928</v>
      </c>
      <c r="H144" s="12"/>
    </row>
    <row r="145" spans="1:8" x14ac:dyDescent="0.35">
      <c r="A145" s="5">
        <f t="shared" si="5"/>
        <v>125</v>
      </c>
      <c r="B145" s="6">
        <f t="shared" si="6"/>
        <v>90947</v>
      </c>
      <c r="C145" s="10" cm="1">
        <f t="array" ref="C145">IF(A145="", "",
   IF(A145=1,
      SUMPRODUCT($D$21:INDEX($D:$D, 20+$B$9)/(1+$B$8)^$A$21:INDEX($A:$A, 20+$B$9)),
      G144
   )
)</f>
        <v>69998.298347829928</v>
      </c>
      <c r="D145" s="4">
        <f t="array" ref="D145">IF($A145="", "",
   $B$7 *
   (1 + LOOKUP($A145, {1,6,11}, {0,0.03,0.05}))
)</f>
        <v>10500</v>
      </c>
      <c r="E145" s="11">
        <f t="shared" si="7"/>
        <v>10499.744752174489</v>
      </c>
      <c r="F145" s="11">
        <f t="shared" si="8"/>
        <v>0.25524782551110548</v>
      </c>
      <c r="G145" s="11">
        <f t="shared" si="9"/>
        <v>69998.043100004419</v>
      </c>
      <c r="H145" s="12"/>
    </row>
    <row r="146" spans="1:8" x14ac:dyDescent="0.35">
      <c r="A146" s="5">
        <f t="shared" si="5"/>
        <v>126</v>
      </c>
      <c r="B146" s="6">
        <f t="shared" si="6"/>
        <v>91312</v>
      </c>
      <c r="C146" s="10" cm="1">
        <f t="array" ref="C146">IF(A146="", "",
   IF(A146=1,
      SUMPRODUCT($D$21:INDEX($D:$D, 20+$B$9)/(1+$B$8)^$A$21:INDEX($A:$A, 20+$B$9)),
      G145
   )
)</f>
        <v>69998.043100004419</v>
      </c>
      <c r="D146" s="4">
        <f t="array" ref="D146">IF($A146="", "",
   $B$7 *
   (1 + LOOKUP($A146, {1,6,11}, {0,0.03,0.05}))
)</f>
        <v>10500</v>
      </c>
      <c r="E146" s="11">
        <f t="shared" si="7"/>
        <v>10499.706465000663</v>
      </c>
      <c r="F146" s="11">
        <f t="shared" si="8"/>
        <v>0.29353499933677085</v>
      </c>
      <c r="G146" s="11">
        <f t="shared" si="9"/>
        <v>69997.749565005084</v>
      </c>
      <c r="H146" s="12"/>
    </row>
    <row r="147" spans="1:8" x14ac:dyDescent="0.35">
      <c r="A147" s="5">
        <f t="shared" si="5"/>
        <v>127</v>
      </c>
      <c r="B147" s="6">
        <f t="shared" si="6"/>
        <v>91677</v>
      </c>
      <c r="C147" s="10" cm="1">
        <f t="array" ref="C147">IF(A147="", "",
   IF(A147=1,
      SUMPRODUCT($D$21:INDEX($D:$D, 20+$B$9)/(1+$B$8)^$A$21:INDEX($A:$A, 20+$B$9)),
      G146
   )
)</f>
        <v>69997.749565005084</v>
      </c>
      <c r="D147" s="4">
        <f t="array" ref="D147">IF($A147="", "",
   $B$7 *
   (1 + LOOKUP($A147, {1,6,11}, {0,0.03,0.05}))
)</f>
        <v>10500</v>
      </c>
      <c r="E147" s="11">
        <f t="shared" si="7"/>
        <v>10499.662434750762</v>
      </c>
      <c r="F147" s="11">
        <f t="shared" si="8"/>
        <v>0.33756524923774123</v>
      </c>
      <c r="G147" s="11">
        <f t="shared" si="9"/>
        <v>69997.411999755845</v>
      </c>
      <c r="H147" s="12"/>
    </row>
    <row r="148" spans="1:8" x14ac:dyDescent="0.35">
      <c r="A148" s="5">
        <f t="shared" si="5"/>
        <v>128</v>
      </c>
      <c r="B148" s="6">
        <f t="shared" si="6"/>
        <v>92042</v>
      </c>
      <c r="C148" s="10" cm="1">
        <f t="array" ref="C148">IF(A148="", "",
   IF(A148=1,
      SUMPRODUCT($D$21:INDEX($D:$D, 20+$B$9)/(1+$B$8)^$A$21:INDEX($A:$A, 20+$B$9)),
      G147
   )
)</f>
        <v>69997.411999755845</v>
      </c>
      <c r="D148" s="4">
        <f t="array" ref="D148">IF($A148="", "",
   $B$7 *
   (1 + LOOKUP($A148, {1,6,11}, {0,0.03,0.05}))
)</f>
        <v>10500</v>
      </c>
      <c r="E148" s="11">
        <f t="shared" si="7"/>
        <v>10499.611799963377</v>
      </c>
      <c r="F148" s="11">
        <f t="shared" si="8"/>
        <v>0.38820003662294766</v>
      </c>
      <c r="G148" s="11">
        <f t="shared" si="9"/>
        <v>69997.023799719216</v>
      </c>
      <c r="H148" s="12"/>
    </row>
    <row r="149" spans="1:8" x14ac:dyDescent="0.35">
      <c r="A149" s="5">
        <f t="shared" si="5"/>
        <v>129</v>
      </c>
      <c r="B149" s="6">
        <f t="shared" si="6"/>
        <v>92408</v>
      </c>
      <c r="C149" s="10" cm="1">
        <f t="array" ref="C149">IF(A149="", "",
   IF(A149=1,
      SUMPRODUCT($D$21:INDEX($D:$D, 20+$B$9)/(1+$B$8)^$A$21:INDEX($A:$A, 20+$B$9)),
      G148
   )
)</f>
        <v>69997.023799719216</v>
      </c>
      <c r="D149" s="4">
        <f t="array" ref="D149">IF($A149="", "",
   $B$7 *
   (1 + LOOKUP($A149, {1,6,11}, {0,0.03,0.05}))
)</f>
        <v>10500</v>
      </c>
      <c r="E149" s="11">
        <f t="shared" si="7"/>
        <v>10499.553569957881</v>
      </c>
      <c r="F149" s="11">
        <f t="shared" si="8"/>
        <v>0.44643004211866355</v>
      </c>
      <c r="G149" s="11">
        <f t="shared" si="9"/>
        <v>69996.577369677092</v>
      </c>
      <c r="H149" s="12"/>
    </row>
    <row r="150" spans="1:8" x14ac:dyDescent="0.35">
      <c r="A150" s="5">
        <f t="shared" ref="A150:A213" si="10">IF(ROW()-20&lt;=$B$9, ROW()-20, "")</f>
        <v>130</v>
      </c>
      <c r="B150" s="6">
        <f t="shared" ref="B150:B213" si="11">IF(A150="", "", DATE(YEAR($B$6)+A150-1, 12, 31))</f>
        <v>92773</v>
      </c>
      <c r="C150" s="10" cm="1">
        <f t="array" ref="C150">IF(A150="", "",
   IF(A150=1,
      SUMPRODUCT($D$21:INDEX($D:$D, 20+$B$9)/(1+$B$8)^$A$21:INDEX($A:$A, 20+$B$9)),
      G149
   )
)</f>
        <v>69996.577369677092</v>
      </c>
      <c r="D150" s="4">
        <f t="array" ref="D150">IF($A150="", "",
   $B$7 *
   (1 + LOOKUP($A150, {1,6,11}, {0,0.03,0.05}))
)</f>
        <v>10500</v>
      </c>
      <c r="E150" s="11">
        <f t="shared" ref="E150:E213" si="12">IF($A150="", "", $C150*$B$8)</f>
        <v>10499.486605451564</v>
      </c>
      <c r="F150" s="11">
        <f t="shared" ref="F150:F213" si="13">IF($A150="", "", $D150-$E150)</f>
        <v>0.51339454843582644</v>
      </c>
      <c r="G150" s="11">
        <f t="shared" ref="G150:G213" si="14">IF($A150="", "", $C150-$F150)</f>
        <v>69996.063975128651</v>
      </c>
      <c r="H150" s="12"/>
    </row>
    <row r="151" spans="1:8" x14ac:dyDescent="0.35">
      <c r="A151" s="5">
        <f t="shared" si="10"/>
        <v>131</v>
      </c>
      <c r="B151" s="6">
        <f t="shared" si="11"/>
        <v>93138</v>
      </c>
      <c r="C151" s="10" cm="1">
        <f t="array" ref="C151">IF(A151="", "",
   IF(A151=1,
      SUMPRODUCT($D$21:INDEX($D:$D, 20+$B$9)/(1+$B$8)^$A$21:INDEX($A:$A, 20+$B$9)),
      G150
   )
)</f>
        <v>69996.063975128651</v>
      </c>
      <c r="D151" s="4">
        <f t="array" ref="D151">IF($A151="", "",
   $B$7 *
   (1 + LOOKUP($A151, {1,6,11}, {0,0.03,0.05}))
)</f>
        <v>10500</v>
      </c>
      <c r="E151" s="11">
        <f t="shared" si="12"/>
        <v>10499.409596269297</v>
      </c>
      <c r="F151" s="11">
        <f t="shared" si="13"/>
        <v>0.59040373070274654</v>
      </c>
      <c r="G151" s="11">
        <f t="shared" si="14"/>
        <v>69995.473571397946</v>
      </c>
      <c r="H151" s="12"/>
    </row>
    <row r="152" spans="1:8" x14ac:dyDescent="0.35">
      <c r="A152" s="5">
        <f t="shared" si="10"/>
        <v>132</v>
      </c>
      <c r="B152" s="6">
        <f t="shared" si="11"/>
        <v>93503</v>
      </c>
      <c r="C152" s="10" cm="1">
        <f t="array" ref="C152">IF(A152="", "",
   IF(A152=1,
      SUMPRODUCT($D$21:INDEX($D:$D, 20+$B$9)/(1+$B$8)^$A$21:INDEX($A:$A, 20+$B$9)),
      G151
   )
)</f>
        <v>69995.473571397946</v>
      </c>
      <c r="D152" s="4">
        <f t="array" ref="D152">IF($A152="", "",
   $B$7 *
   (1 + LOOKUP($A152, {1,6,11}, {0,0.03,0.05}))
)</f>
        <v>10500</v>
      </c>
      <c r="E152" s="11">
        <f t="shared" si="12"/>
        <v>10499.321035709692</v>
      </c>
      <c r="F152" s="11">
        <f t="shared" si="13"/>
        <v>0.67896429030770378</v>
      </c>
      <c r="G152" s="11">
        <f t="shared" si="14"/>
        <v>69994.794607107644</v>
      </c>
      <c r="H152" s="12"/>
    </row>
    <row r="153" spans="1:8" x14ac:dyDescent="0.35">
      <c r="A153" s="5">
        <f t="shared" si="10"/>
        <v>133</v>
      </c>
      <c r="B153" s="6">
        <f t="shared" si="11"/>
        <v>93869</v>
      </c>
      <c r="C153" s="10" cm="1">
        <f t="array" ref="C153">IF(A153="", "",
   IF(A153=1,
      SUMPRODUCT($D$21:INDEX($D:$D, 20+$B$9)/(1+$B$8)^$A$21:INDEX($A:$A, 20+$B$9)),
      G152
   )
)</f>
        <v>69994.794607107644</v>
      </c>
      <c r="D153" s="4">
        <f t="array" ref="D153">IF($A153="", "",
   $B$7 *
   (1 + LOOKUP($A153, {1,6,11}, {0,0.03,0.05}))
)</f>
        <v>10500</v>
      </c>
      <c r="E153" s="11">
        <f t="shared" si="12"/>
        <v>10499.219191066146</v>
      </c>
      <c r="F153" s="11">
        <f t="shared" si="13"/>
        <v>0.78080893385413219</v>
      </c>
      <c r="G153" s="11">
        <f t="shared" si="14"/>
        <v>69994.013798173793</v>
      </c>
      <c r="H153" s="12"/>
    </row>
    <row r="154" spans="1:8" x14ac:dyDescent="0.35">
      <c r="A154" s="5">
        <f t="shared" si="10"/>
        <v>134</v>
      </c>
      <c r="B154" s="6">
        <f t="shared" si="11"/>
        <v>94234</v>
      </c>
      <c r="C154" s="10" cm="1">
        <f t="array" ref="C154">IF(A154="", "",
   IF(A154=1,
      SUMPRODUCT($D$21:INDEX($D:$D, 20+$B$9)/(1+$B$8)^$A$21:INDEX($A:$A, 20+$B$9)),
      G153
   )
)</f>
        <v>69994.013798173793</v>
      </c>
      <c r="D154" s="4">
        <f t="array" ref="D154">IF($A154="", "",
   $B$7 *
   (1 + LOOKUP($A154, {1,6,11}, {0,0.03,0.05}))
)</f>
        <v>10500</v>
      </c>
      <c r="E154" s="11">
        <f t="shared" si="12"/>
        <v>10499.102069726068</v>
      </c>
      <c r="F154" s="11">
        <f t="shared" si="13"/>
        <v>0.89793027393170632</v>
      </c>
      <c r="G154" s="11">
        <f t="shared" si="14"/>
        <v>69993.115867899862</v>
      </c>
      <c r="H154" s="12"/>
    </row>
    <row r="155" spans="1:8" x14ac:dyDescent="0.35">
      <c r="A155" s="5">
        <f t="shared" si="10"/>
        <v>135</v>
      </c>
      <c r="B155" s="6">
        <f t="shared" si="11"/>
        <v>94599</v>
      </c>
      <c r="C155" s="10" cm="1">
        <f t="array" ref="C155">IF(A155="", "",
   IF(A155=1,
      SUMPRODUCT($D$21:INDEX($D:$D, 20+$B$9)/(1+$B$8)^$A$21:INDEX($A:$A, 20+$B$9)),
      G154
   )
)</f>
        <v>69993.115867899862</v>
      </c>
      <c r="D155" s="4">
        <f t="array" ref="D155">IF($A155="", "",
   $B$7 *
   (1 + LOOKUP($A155, {1,6,11}, {0,0.03,0.05}))
)</f>
        <v>10500</v>
      </c>
      <c r="E155" s="11">
        <f t="shared" si="12"/>
        <v>10498.967380184979</v>
      </c>
      <c r="F155" s="11">
        <f t="shared" si="13"/>
        <v>1.0326198150214623</v>
      </c>
      <c r="G155" s="11">
        <f t="shared" si="14"/>
        <v>69992.083248084848</v>
      </c>
      <c r="H155" s="12"/>
    </row>
    <row r="156" spans="1:8" x14ac:dyDescent="0.35">
      <c r="A156" s="5">
        <f t="shared" si="10"/>
        <v>136</v>
      </c>
      <c r="B156" s="6">
        <f t="shared" si="11"/>
        <v>94964</v>
      </c>
      <c r="C156" s="10" cm="1">
        <f t="array" ref="C156">IF(A156="", "",
   IF(A156=1,
      SUMPRODUCT($D$21:INDEX($D:$D, 20+$B$9)/(1+$B$8)^$A$21:INDEX($A:$A, 20+$B$9)),
      G155
   )
)</f>
        <v>69992.083248084848</v>
      </c>
      <c r="D156" s="4">
        <f t="array" ref="D156">IF($A156="", "",
   $B$7 *
   (1 + LOOKUP($A156, {1,6,11}, {0,0.03,0.05}))
)</f>
        <v>10500</v>
      </c>
      <c r="E156" s="11">
        <f t="shared" si="12"/>
        <v>10498.812487212726</v>
      </c>
      <c r="F156" s="11">
        <f t="shared" si="13"/>
        <v>1.1875127872735902</v>
      </c>
      <c r="G156" s="11">
        <f t="shared" si="14"/>
        <v>69990.89573529757</v>
      </c>
      <c r="H156" s="12"/>
    </row>
    <row r="157" spans="1:8" x14ac:dyDescent="0.35">
      <c r="A157" s="5">
        <f t="shared" si="10"/>
        <v>137</v>
      </c>
      <c r="B157" s="6">
        <f t="shared" si="11"/>
        <v>95330</v>
      </c>
      <c r="C157" s="10" cm="1">
        <f t="array" ref="C157">IF(A157="", "",
   IF(A157=1,
      SUMPRODUCT($D$21:INDEX($D:$D, 20+$B$9)/(1+$B$8)^$A$21:INDEX($A:$A, 20+$B$9)),
      G156
   )
)</f>
        <v>69990.89573529757</v>
      </c>
      <c r="D157" s="4">
        <f t="array" ref="D157">IF($A157="", "",
   $B$7 *
   (1 + LOOKUP($A157, {1,6,11}, {0,0.03,0.05}))
)</f>
        <v>10500</v>
      </c>
      <c r="E157" s="11">
        <f t="shared" si="12"/>
        <v>10498.634360294634</v>
      </c>
      <c r="F157" s="11">
        <f t="shared" si="13"/>
        <v>1.3656397053655382</v>
      </c>
      <c r="G157" s="11">
        <f t="shared" si="14"/>
        <v>69989.530095592199</v>
      </c>
      <c r="H157" s="12"/>
    </row>
    <row r="158" spans="1:8" x14ac:dyDescent="0.35">
      <c r="A158" s="5">
        <f t="shared" si="10"/>
        <v>138</v>
      </c>
      <c r="B158" s="6">
        <f t="shared" si="11"/>
        <v>95695</v>
      </c>
      <c r="C158" s="10" cm="1">
        <f t="array" ref="C158">IF(A158="", "",
   IF(A158=1,
      SUMPRODUCT($D$21:INDEX($D:$D, 20+$B$9)/(1+$B$8)^$A$21:INDEX($A:$A, 20+$B$9)),
      G157
   )
)</f>
        <v>69989.530095592199</v>
      </c>
      <c r="D158" s="4">
        <f t="array" ref="D158">IF($A158="", "",
   $B$7 *
   (1 + LOOKUP($A158, {1,6,11}, {0,0.03,0.05}))
)</f>
        <v>10500</v>
      </c>
      <c r="E158" s="11">
        <f t="shared" si="12"/>
        <v>10498.42951433883</v>
      </c>
      <c r="F158" s="11">
        <f t="shared" si="13"/>
        <v>1.5704856611700961</v>
      </c>
      <c r="G158" s="11">
        <f t="shared" si="14"/>
        <v>69987.959609931029</v>
      </c>
      <c r="H158" s="12"/>
    </row>
    <row r="159" spans="1:8" x14ac:dyDescent="0.35">
      <c r="A159" s="5">
        <f t="shared" si="10"/>
        <v>139</v>
      </c>
      <c r="B159" s="6">
        <f t="shared" si="11"/>
        <v>96060</v>
      </c>
      <c r="C159" s="10" cm="1">
        <f t="array" ref="C159">IF(A159="", "",
   IF(A159=1,
      SUMPRODUCT($D$21:INDEX($D:$D, 20+$B$9)/(1+$B$8)^$A$21:INDEX($A:$A, 20+$B$9)),
      G158
   )
)</f>
        <v>69987.959609931029</v>
      </c>
      <c r="D159" s="4">
        <f t="array" ref="D159">IF($A159="", "",
   $B$7 *
   (1 + LOOKUP($A159, {1,6,11}, {0,0.03,0.05}))
)</f>
        <v>10500</v>
      </c>
      <c r="E159" s="11">
        <f t="shared" si="12"/>
        <v>10498.193941489653</v>
      </c>
      <c r="F159" s="11">
        <f t="shared" si="13"/>
        <v>1.806058510346702</v>
      </c>
      <c r="G159" s="11">
        <f t="shared" si="14"/>
        <v>69986.153551420677</v>
      </c>
      <c r="H159" s="12"/>
    </row>
    <row r="160" spans="1:8" x14ac:dyDescent="0.35">
      <c r="A160" s="5">
        <f t="shared" si="10"/>
        <v>140</v>
      </c>
      <c r="B160" s="6">
        <f t="shared" si="11"/>
        <v>96425</v>
      </c>
      <c r="C160" s="10" cm="1">
        <f t="array" ref="C160">IF(A160="", "",
   IF(A160=1,
      SUMPRODUCT($D$21:INDEX($D:$D, 20+$B$9)/(1+$B$8)^$A$21:INDEX($A:$A, 20+$B$9)),
      G159
   )
)</f>
        <v>69986.153551420677</v>
      </c>
      <c r="D160" s="4">
        <f t="array" ref="D160">IF($A160="", "",
   $B$7 *
   (1 + LOOKUP($A160, {1,6,11}, {0,0.03,0.05}))
)</f>
        <v>10500</v>
      </c>
      <c r="E160" s="11">
        <f t="shared" si="12"/>
        <v>10497.923032713101</v>
      </c>
      <c r="F160" s="11">
        <f t="shared" si="13"/>
        <v>2.076967286899162</v>
      </c>
      <c r="G160" s="11">
        <f t="shared" si="14"/>
        <v>69984.076584133785</v>
      </c>
      <c r="H160" s="12"/>
    </row>
    <row r="161" spans="1:8" x14ac:dyDescent="0.35">
      <c r="A161" s="5">
        <f t="shared" si="10"/>
        <v>141</v>
      </c>
      <c r="B161" s="6">
        <f t="shared" si="11"/>
        <v>96791</v>
      </c>
      <c r="C161" s="10" cm="1">
        <f t="array" ref="C161">IF(A161="", "",
   IF(A161=1,
      SUMPRODUCT($D$21:INDEX($D:$D, 20+$B$9)/(1+$B$8)^$A$21:INDEX($A:$A, 20+$B$9)),
      G160
   )
)</f>
        <v>69984.076584133785</v>
      </c>
      <c r="D161" s="4">
        <f t="array" ref="D161">IF($A161="", "",
   $B$7 *
   (1 + LOOKUP($A161, {1,6,11}, {0,0.03,0.05}))
)</f>
        <v>10500</v>
      </c>
      <c r="E161" s="11">
        <f t="shared" si="12"/>
        <v>10497.611487620068</v>
      </c>
      <c r="F161" s="11">
        <f t="shared" si="13"/>
        <v>2.3885123799318535</v>
      </c>
      <c r="G161" s="11">
        <f t="shared" si="14"/>
        <v>69981.688071753859</v>
      </c>
      <c r="H161" s="12"/>
    </row>
    <row r="162" spans="1:8" x14ac:dyDescent="0.35">
      <c r="A162" s="5">
        <f t="shared" si="10"/>
        <v>142</v>
      </c>
      <c r="B162" s="6">
        <f t="shared" si="11"/>
        <v>97156</v>
      </c>
      <c r="C162" s="10" cm="1">
        <f t="array" ref="C162">IF(A162="", "",
   IF(A162=1,
      SUMPRODUCT($D$21:INDEX($D:$D, 20+$B$9)/(1+$B$8)^$A$21:INDEX($A:$A, 20+$B$9)),
      G161
   )
)</f>
        <v>69981.688071753859</v>
      </c>
      <c r="D162" s="4">
        <f t="array" ref="D162">IF($A162="", "",
   $B$7 *
   (1 + LOOKUP($A162, {1,6,11}, {0,0.03,0.05}))
)</f>
        <v>10500</v>
      </c>
      <c r="E162" s="11">
        <f t="shared" si="12"/>
        <v>10497.253210763078</v>
      </c>
      <c r="F162" s="11">
        <f t="shared" si="13"/>
        <v>2.7467892369222682</v>
      </c>
      <c r="G162" s="11">
        <f t="shared" si="14"/>
        <v>69978.941282516942</v>
      </c>
      <c r="H162" s="12"/>
    </row>
    <row r="163" spans="1:8" x14ac:dyDescent="0.35">
      <c r="A163" s="5">
        <f t="shared" si="10"/>
        <v>143</v>
      </c>
      <c r="B163" s="6">
        <f t="shared" si="11"/>
        <v>97521</v>
      </c>
      <c r="C163" s="10" cm="1">
        <f t="array" ref="C163">IF(A163="", "",
   IF(A163=1,
      SUMPRODUCT($D$21:INDEX($D:$D, 20+$B$9)/(1+$B$8)^$A$21:INDEX($A:$A, 20+$B$9)),
      G162
   )
)</f>
        <v>69978.941282516942</v>
      </c>
      <c r="D163" s="4">
        <f t="array" ref="D163">IF($A163="", "",
   $B$7 *
   (1 + LOOKUP($A163, {1,6,11}, {0,0.03,0.05}))
)</f>
        <v>10500</v>
      </c>
      <c r="E163" s="11">
        <f t="shared" si="12"/>
        <v>10496.84119237754</v>
      </c>
      <c r="F163" s="11">
        <f t="shared" si="13"/>
        <v>3.1588076224597899</v>
      </c>
      <c r="G163" s="11">
        <f t="shared" si="14"/>
        <v>69975.782474894484</v>
      </c>
      <c r="H163" s="12"/>
    </row>
    <row r="164" spans="1:8" x14ac:dyDescent="0.35">
      <c r="A164" s="5">
        <f t="shared" si="10"/>
        <v>144</v>
      </c>
      <c r="B164" s="6">
        <f t="shared" si="11"/>
        <v>97886</v>
      </c>
      <c r="C164" s="10" cm="1">
        <f t="array" ref="C164">IF(A164="", "",
   IF(A164=1,
      SUMPRODUCT($D$21:INDEX($D:$D, 20+$B$9)/(1+$B$8)^$A$21:INDEX($A:$A, 20+$B$9)),
      G163
   )
)</f>
        <v>69975.782474894484</v>
      </c>
      <c r="D164" s="4">
        <f t="array" ref="D164">IF($A164="", "",
   $B$7 *
   (1 + LOOKUP($A164, {1,6,11}, {0,0.03,0.05}))
)</f>
        <v>10500</v>
      </c>
      <c r="E164" s="11">
        <f t="shared" si="12"/>
        <v>10496.367371234172</v>
      </c>
      <c r="F164" s="11">
        <f t="shared" si="13"/>
        <v>3.6326287658284855</v>
      </c>
      <c r="G164" s="11">
        <f t="shared" si="14"/>
        <v>69972.149846128654</v>
      </c>
      <c r="H164" s="12"/>
    </row>
    <row r="165" spans="1:8" x14ac:dyDescent="0.35">
      <c r="A165" s="5">
        <f t="shared" si="10"/>
        <v>145</v>
      </c>
      <c r="B165" s="6">
        <f t="shared" si="11"/>
        <v>98252</v>
      </c>
      <c r="C165" s="10" cm="1">
        <f t="array" ref="C165">IF(A165="", "",
   IF(A165=1,
      SUMPRODUCT($D$21:INDEX($D:$D, 20+$B$9)/(1+$B$8)^$A$21:INDEX($A:$A, 20+$B$9)),
      G164
   )
)</f>
        <v>69972.149846128654</v>
      </c>
      <c r="D165" s="4">
        <f t="array" ref="D165">IF($A165="", "",
   $B$7 *
   (1 + LOOKUP($A165, {1,6,11}, {0,0.03,0.05}))
)</f>
        <v>10500</v>
      </c>
      <c r="E165" s="11">
        <f t="shared" si="12"/>
        <v>10495.822476919298</v>
      </c>
      <c r="F165" s="11">
        <f t="shared" si="13"/>
        <v>4.177523080701576</v>
      </c>
      <c r="G165" s="11">
        <f t="shared" si="14"/>
        <v>69967.972323047958</v>
      </c>
      <c r="H165" s="12"/>
    </row>
    <row r="166" spans="1:8" x14ac:dyDescent="0.35">
      <c r="A166" s="5">
        <f t="shared" si="10"/>
        <v>146</v>
      </c>
      <c r="B166" s="6">
        <f t="shared" si="11"/>
        <v>98617</v>
      </c>
      <c r="C166" s="10" cm="1">
        <f t="array" ref="C166">IF(A166="", "",
   IF(A166=1,
      SUMPRODUCT($D$21:INDEX($D:$D, 20+$B$9)/(1+$B$8)^$A$21:INDEX($A:$A, 20+$B$9)),
      G165
   )
)</f>
        <v>69967.972323047958</v>
      </c>
      <c r="D166" s="4">
        <f t="array" ref="D166">IF($A166="", "",
   $B$7 *
   (1 + LOOKUP($A166, {1,6,11}, {0,0.03,0.05}))
)</f>
        <v>10500</v>
      </c>
      <c r="E166" s="11">
        <f t="shared" si="12"/>
        <v>10495.195848457193</v>
      </c>
      <c r="F166" s="11">
        <f t="shared" si="13"/>
        <v>4.8041515428067214</v>
      </c>
      <c r="G166" s="11">
        <f t="shared" si="14"/>
        <v>69963.168171505153</v>
      </c>
      <c r="H166" s="12"/>
    </row>
    <row r="167" spans="1:8" x14ac:dyDescent="0.35">
      <c r="A167" s="5">
        <f t="shared" si="10"/>
        <v>147</v>
      </c>
      <c r="B167" s="6">
        <f t="shared" si="11"/>
        <v>98982</v>
      </c>
      <c r="C167" s="10" cm="1">
        <f t="array" ref="C167">IF(A167="", "",
   IF(A167=1,
      SUMPRODUCT($D$21:INDEX($D:$D, 20+$B$9)/(1+$B$8)^$A$21:INDEX($A:$A, 20+$B$9)),
      G166
   )
)</f>
        <v>69963.168171505153</v>
      </c>
      <c r="D167" s="4">
        <f t="array" ref="D167">IF($A167="", "",
   $B$7 *
   (1 + LOOKUP($A167, {1,6,11}, {0,0.03,0.05}))
)</f>
        <v>10500</v>
      </c>
      <c r="E167" s="11">
        <f t="shared" si="12"/>
        <v>10494.475225725773</v>
      </c>
      <c r="F167" s="11">
        <f t="shared" si="13"/>
        <v>5.5247742742267292</v>
      </c>
      <c r="G167" s="11">
        <f t="shared" si="14"/>
        <v>69957.643397230931</v>
      </c>
      <c r="H167" s="12"/>
    </row>
    <row r="168" spans="1:8" x14ac:dyDescent="0.35">
      <c r="A168" s="5">
        <f t="shared" si="10"/>
        <v>148</v>
      </c>
      <c r="B168" s="6">
        <f t="shared" si="11"/>
        <v>99347</v>
      </c>
      <c r="C168" s="10" cm="1">
        <f t="array" ref="C168">IF(A168="", "",
   IF(A168=1,
      SUMPRODUCT($D$21:INDEX($D:$D, 20+$B$9)/(1+$B$8)^$A$21:INDEX($A:$A, 20+$B$9)),
      G167
   )
)</f>
        <v>69957.643397230931</v>
      </c>
      <c r="D168" s="4">
        <f t="array" ref="D168">IF($A168="", "",
   $B$7 *
   (1 + LOOKUP($A168, {1,6,11}, {0,0.03,0.05}))
)</f>
        <v>10500</v>
      </c>
      <c r="E168" s="11">
        <f t="shared" si="12"/>
        <v>10493.64650958464</v>
      </c>
      <c r="F168" s="11">
        <f t="shared" si="13"/>
        <v>6.3534904153602838</v>
      </c>
      <c r="G168" s="11">
        <f t="shared" si="14"/>
        <v>69951.289906815568</v>
      </c>
      <c r="H168" s="12"/>
    </row>
    <row r="169" spans="1:8" x14ac:dyDescent="0.35">
      <c r="A169" s="5">
        <f t="shared" si="10"/>
        <v>149</v>
      </c>
      <c r="B169" s="6">
        <f t="shared" si="11"/>
        <v>99713</v>
      </c>
      <c r="C169" s="10" cm="1">
        <f t="array" ref="C169">IF(A169="", "",
   IF(A169=1,
      SUMPRODUCT($D$21:INDEX($D:$D, 20+$B$9)/(1+$B$8)^$A$21:INDEX($A:$A, 20+$B$9)),
      G168
   )
)</f>
        <v>69951.289906815568</v>
      </c>
      <c r="D169" s="4">
        <f t="array" ref="D169">IF($A169="", "",
   $B$7 *
   (1 + LOOKUP($A169, {1,6,11}, {0,0.03,0.05}))
)</f>
        <v>10500</v>
      </c>
      <c r="E169" s="11">
        <f t="shared" si="12"/>
        <v>10492.693486022335</v>
      </c>
      <c r="F169" s="11">
        <f t="shared" si="13"/>
        <v>7.3065139776645083</v>
      </c>
      <c r="G169" s="11">
        <f t="shared" si="14"/>
        <v>69943.983392837908</v>
      </c>
      <c r="H169" s="12"/>
    </row>
    <row r="170" spans="1:8" x14ac:dyDescent="0.35">
      <c r="A170" s="5">
        <f t="shared" si="10"/>
        <v>150</v>
      </c>
      <c r="B170" s="6">
        <f t="shared" si="11"/>
        <v>100078</v>
      </c>
      <c r="C170" s="10" cm="1">
        <f t="array" ref="C170">IF(A170="", "",
   IF(A170=1,
      SUMPRODUCT($D$21:INDEX($D:$D, 20+$B$9)/(1+$B$8)^$A$21:INDEX($A:$A, 20+$B$9)),
      G169
   )
)</f>
        <v>69943.983392837908</v>
      </c>
      <c r="D170" s="4">
        <f t="array" ref="D170">IF($A170="", "",
   $B$7 *
   (1 + LOOKUP($A170, {1,6,11}, {0,0.03,0.05}))
)</f>
        <v>10500</v>
      </c>
      <c r="E170" s="11">
        <f t="shared" si="12"/>
        <v>10491.597508925686</v>
      </c>
      <c r="F170" s="11">
        <f t="shared" si="13"/>
        <v>8.4024910743137298</v>
      </c>
      <c r="G170" s="11">
        <f t="shared" si="14"/>
        <v>69935.580901763591</v>
      </c>
      <c r="H170" s="12"/>
    </row>
    <row r="171" spans="1:8" x14ac:dyDescent="0.35">
      <c r="A171" s="5">
        <f t="shared" si="10"/>
        <v>151</v>
      </c>
      <c r="B171" s="6">
        <f t="shared" si="11"/>
        <v>100443</v>
      </c>
      <c r="C171" s="10" cm="1">
        <f t="array" ref="C171">IF(A171="", "",
   IF(A171=1,
      SUMPRODUCT($D$21:INDEX($D:$D, 20+$B$9)/(1+$B$8)^$A$21:INDEX($A:$A, 20+$B$9)),
      G170
   )
)</f>
        <v>69935.580901763591</v>
      </c>
      <c r="D171" s="4">
        <f t="array" ref="D171">IF($A171="", "",
   $B$7 *
   (1 + LOOKUP($A171, {1,6,11}, {0,0.03,0.05}))
)</f>
        <v>10500</v>
      </c>
      <c r="E171" s="11">
        <f t="shared" si="12"/>
        <v>10490.337135264539</v>
      </c>
      <c r="F171" s="11">
        <f t="shared" si="13"/>
        <v>9.6628647354609711</v>
      </c>
      <c r="G171" s="11">
        <f t="shared" si="14"/>
        <v>69925.918037028125</v>
      </c>
      <c r="H171" s="12"/>
    </row>
    <row r="172" spans="1:8" x14ac:dyDescent="0.35">
      <c r="A172" s="5">
        <f t="shared" si="10"/>
        <v>152</v>
      </c>
      <c r="B172" s="6">
        <f t="shared" si="11"/>
        <v>100808</v>
      </c>
      <c r="C172" s="10" cm="1">
        <f t="array" ref="C172">IF(A172="", "",
   IF(A172=1,
      SUMPRODUCT($D$21:INDEX($D:$D, 20+$B$9)/(1+$B$8)^$A$21:INDEX($A:$A, 20+$B$9)),
      G171
   )
)</f>
        <v>69925.918037028125</v>
      </c>
      <c r="D172" s="4">
        <f t="array" ref="D172">IF($A172="", "",
   $B$7 *
   (1 + LOOKUP($A172, {1,6,11}, {0,0.03,0.05}))
)</f>
        <v>10500</v>
      </c>
      <c r="E172" s="11">
        <f t="shared" si="12"/>
        <v>10488.887705554218</v>
      </c>
      <c r="F172" s="11">
        <f t="shared" si="13"/>
        <v>11.112294445782027</v>
      </c>
      <c r="G172" s="11">
        <f t="shared" si="14"/>
        <v>69914.805742582335</v>
      </c>
      <c r="H172" s="12"/>
    </row>
    <row r="173" spans="1:8" x14ac:dyDescent="0.35">
      <c r="A173" s="5">
        <f t="shared" si="10"/>
        <v>153</v>
      </c>
      <c r="B173" s="6">
        <f t="shared" si="11"/>
        <v>101174</v>
      </c>
      <c r="C173" s="10" cm="1">
        <f t="array" ref="C173">IF(A173="", "",
   IF(A173=1,
      SUMPRODUCT($D$21:INDEX($D:$D, 20+$B$9)/(1+$B$8)^$A$21:INDEX($A:$A, 20+$B$9)),
      G172
   )
)</f>
        <v>69914.805742582335</v>
      </c>
      <c r="D173" s="4">
        <f t="array" ref="D173">IF($A173="", "",
   $B$7 *
   (1 + LOOKUP($A173, {1,6,11}, {0,0.03,0.05}))
)</f>
        <v>10500</v>
      </c>
      <c r="E173" s="11">
        <f t="shared" si="12"/>
        <v>10487.22086138735</v>
      </c>
      <c r="F173" s="11">
        <f t="shared" si="13"/>
        <v>12.779138612650058</v>
      </c>
      <c r="G173" s="11">
        <f t="shared" si="14"/>
        <v>69902.026603969687</v>
      </c>
      <c r="H173" s="12"/>
    </row>
    <row r="174" spans="1:8" x14ac:dyDescent="0.35">
      <c r="A174" s="5">
        <f t="shared" si="10"/>
        <v>154</v>
      </c>
      <c r="B174" s="6">
        <f t="shared" si="11"/>
        <v>101539</v>
      </c>
      <c r="C174" s="10" cm="1">
        <f t="array" ref="C174">IF(A174="", "",
   IF(A174=1,
      SUMPRODUCT($D$21:INDEX($D:$D, 20+$B$9)/(1+$B$8)^$A$21:INDEX($A:$A, 20+$B$9)),
      G173
   )
)</f>
        <v>69902.026603969687</v>
      </c>
      <c r="D174" s="4">
        <f t="array" ref="D174">IF($A174="", "",
   $B$7 *
   (1 + LOOKUP($A174, {1,6,11}, {0,0.03,0.05}))
)</f>
        <v>10500</v>
      </c>
      <c r="E174" s="11">
        <f t="shared" si="12"/>
        <v>10485.303990595452</v>
      </c>
      <c r="F174" s="11">
        <f t="shared" si="13"/>
        <v>14.696009404548022</v>
      </c>
      <c r="G174" s="11">
        <f t="shared" si="14"/>
        <v>69887.330594565137</v>
      </c>
      <c r="H174" s="12"/>
    </row>
    <row r="175" spans="1:8" x14ac:dyDescent="0.35">
      <c r="A175" s="5">
        <f t="shared" si="10"/>
        <v>155</v>
      </c>
      <c r="B175" s="6">
        <f t="shared" si="11"/>
        <v>101904</v>
      </c>
      <c r="C175" s="10" cm="1">
        <f t="array" ref="C175">IF(A175="", "",
   IF(A175=1,
      SUMPRODUCT($D$21:INDEX($D:$D, 20+$B$9)/(1+$B$8)^$A$21:INDEX($A:$A, 20+$B$9)),
      G174
   )
)</f>
        <v>69887.330594565137</v>
      </c>
      <c r="D175" s="4">
        <f t="array" ref="D175">IF($A175="", "",
   $B$7 *
   (1 + LOOKUP($A175, {1,6,11}, {0,0.03,0.05}))
)</f>
        <v>10500</v>
      </c>
      <c r="E175" s="11">
        <f t="shared" si="12"/>
        <v>10483.099589184771</v>
      </c>
      <c r="F175" s="11">
        <f t="shared" si="13"/>
        <v>16.900410815229407</v>
      </c>
      <c r="G175" s="11">
        <f t="shared" si="14"/>
        <v>69870.430183749908</v>
      </c>
      <c r="H175" s="12"/>
    </row>
    <row r="176" spans="1:8" x14ac:dyDescent="0.35">
      <c r="A176" s="5">
        <f t="shared" si="10"/>
        <v>156</v>
      </c>
      <c r="B176" s="6">
        <f t="shared" si="11"/>
        <v>102269</v>
      </c>
      <c r="C176" s="10" cm="1">
        <f t="array" ref="C176">IF(A176="", "",
   IF(A176=1,
      SUMPRODUCT($D$21:INDEX($D:$D, 20+$B$9)/(1+$B$8)^$A$21:INDEX($A:$A, 20+$B$9)),
      G175
   )
)</f>
        <v>69870.430183749908</v>
      </c>
      <c r="D176" s="4">
        <f t="array" ref="D176">IF($A176="", "",
   $B$7 *
   (1 + LOOKUP($A176, {1,6,11}, {0,0.03,0.05}))
)</f>
        <v>10500</v>
      </c>
      <c r="E176" s="11">
        <f t="shared" si="12"/>
        <v>10480.564527562487</v>
      </c>
      <c r="F176" s="11">
        <f t="shared" si="13"/>
        <v>19.435472437513454</v>
      </c>
      <c r="G176" s="11">
        <f t="shared" si="14"/>
        <v>69850.994711312393</v>
      </c>
      <c r="H176" s="12"/>
    </row>
    <row r="177" spans="1:8" x14ac:dyDescent="0.35">
      <c r="A177" s="5">
        <f t="shared" si="10"/>
        <v>157</v>
      </c>
      <c r="B177" s="6">
        <f t="shared" si="11"/>
        <v>102635</v>
      </c>
      <c r="C177" s="10" cm="1">
        <f t="array" ref="C177">IF(A177="", "",
   IF(A177=1,
      SUMPRODUCT($D$21:INDEX($D:$D, 20+$B$9)/(1+$B$8)^$A$21:INDEX($A:$A, 20+$B$9)),
      G176
   )
)</f>
        <v>69850.994711312393</v>
      </c>
      <c r="D177" s="4">
        <f t="array" ref="D177">IF($A177="", "",
   $B$7 *
   (1 + LOOKUP($A177, {1,6,11}, {0,0.03,0.05}))
)</f>
        <v>10500</v>
      </c>
      <c r="E177" s="11">
        <f t="shared" si="12"/>
        <v>10477.649206696859</v>
      </c>
      <c r="F177" s="11">
        <f t="shared" si="13"/>
        <v>22.350793303141472</v>
      </c>
      <c r="G177" s="11">
        <f t="shared" si="14"/>
        <v>69828.643918009257</v>
      </c>
      <c r="H177" s="12"/>
    </row>
    <row r="178" spans="1:8" x14ac:dyDescent="0.35">
      <c r="A178" s="5">
        <f t="shared" si="10"/>
        <v>158</v>
      </c>
      <c r="B178" s="6">
        <f t="shared" si="11"/>
        <v>103000</v>
      </c>
      <c r="C178" s="10" cm="1">
        <f t="array" ref="C178">IF(A178="", "",
   IF(A178=1,
      SUMPRODUCT($D$21:INDEX($D:$D, 20+$B$9)/(1+$B$8)^$A$21:INDEX($A:$A, 20+$B$9)),
      G177
   )
)</f>
        <v>69828.643918009257</v>
      </c>
      <c r="D178" s="4">
        <f t="array" ref="D178">IF($A178="", "",
   $B$7 *
   (1 + LOOKUP($A178, {1,6,11}, {0,0.03,0.05}))
)</f>
        <v>10500</v>
      </c>
      <c r="E178" s="11">
        <f t="shared" si="12"/>
        <v>10474.296587701388</v>
      </c>
      <c r="F178" s="11">
        <f t="shared" si="13"/>
        <v>25.703412298611511</v>
      </c>
      <c r="G178" s="11">
        <f t="shared" si="14"/>
        <v>69802.940505710649</v>
      </c>
      <c r="H178" s="12"/>
    </row>
    <row r="179" spans="1:8" x14ac:dyDescent="0.35">
      <c r="A179" s="5">
        <f t="shared" si="10"/>
        <v>159</v>
      </c>
      <c r="B179" s="6">
        <f t="shared" si="11"/>
        <v>103365</v>
      </c>
      <c r="C179" s="10" cm="1">
        <f t="array" ref="C179">IF(A179="", "",
   IF(A179=1,
      SUMPRODUCT($D$21:INDEX($D:$D, 20+$B$9)/(1+$B$8)^$A$21:INDEX($A:$A, 20+$B$9)),
      G178
   )
)</f>
        <v>69802.940505710649</v>
      </c>
      <c r="D179" s="4">
        <f t="array" ref="D179">IF($A179="", "",
   $B$7 *
   (1 + LOOKUP($A179, {1,6,11}, {0,0.03,0.05}))
)</f>
        <v>10500</v>
      </c>
      <c r="E179" s="11">
        <f t="shared" si="12"/>
        <v>10470.441075856597</v>
      </c>
      <c r="F179" s="11">
        <f t="shared" si="13"/>
        <v>29.558924143402692</v>
      </c>
      <c r="G179" s="11">
        <f t="shared" si="14"/>
        <v>69773.381581567242</v>
      </c>
      <c r="H179" s="12"/>
    </row>
    <row r="180" spans="1:8" x14ac:dyDescent="0.35">
      <c r="A180" s="5">
        <f t="shared" si="10"/>
        <v>160</v>
      </c>
      <c r="B180" s="6">
        <f t="shared" si="11"/>
        <v>103730</v>
      </c>
      <c r="C180" s="10" cm="1">
        <f t="array" ref="C180">IF(A180="", "",
   IF(A180=1,
      SUMPRODUCT($D$21:INDEX($D:$D, 20+$B$9)/(1+$B$8)^$A$21:INDEX($A:$A, 20+$B$9)),
      G179
   )
)</f>
        <v>69773.381581567242</v>
      </c>
      <c r="D180" s="4">
        <f t="array" ref="D180">IF($A180="", "",
   $B$7 *
   (1 + LOOKUP($A180, {1,6,11}, {0,0.03,0.05}))
)</f>
        <v>10500</v>
      </c>
      <c r="E180" s="11">
        <f t="shared" si="12"/>
        <v>10466.007237235086</v>
      </c>
      <c r="F180" s="11">
        <f t="shared" si="13"/>
        <v>33.992762764914005</v>
      </c>
      <c r="G180" s="11">
        <f t="shared" si="14"/>
        <v>69739.388818802327</v>
      </c>
      <c r="H180" s="12"/>
    </row>
    <row r="181" spans="1:8" x14ac:dyDescent="0.35">
      <c r="A181" s="5">
        <f t="shared" si="10"/>
        <v>161</v>
      </c>
      <c r="B181" s="6">
        <f t="shared" si="11"/>
        <v>104096</v>
      </c>
      <c r="C181" s="10" cm="1">
        <f t="array" ref="C181">IF(A181="", "",
   IF(A181=1,
      SUMPRODUCT($D$21:INDEX($D:$D, 20+$B$9)/(1+$B$8)^$A$21:INDEX($A:$A, 20+$B$9)),
      G180
   )
)</f>
        <v>69739.388818802327</v>
      </c>
      <c r="D181" s="4">
        <f t="array" ref="D181">IF($A181="", "",
   $B$7 *
   (1 + LOOKUP($A181, {1,6,11}, {0,0.03,0.05}))
)</f>
        <v>10500</v>
      </c>
      <c r="E181" s="11">
        <f t="shared" si="12"/>
        <v>10460.908322820349</v>
      </c>
      <c r="F181" s="11">
        <f t="shared" si="13"/>
        <v>39.091677179651015</v>
      </c>
      <c r="G181" s="11">
        <f t="shared" si="14"/>
        <v>69700.297141622679</v>
      </c>
      <c r="H181" s="12"/>
    </row>
    <row r="182" spans="1:8" x14ac:dyDescent="0.35">
      <c r="A182" s="5">
        <f t="shared" si="10"/>
        <v>162</v>
      </c>
      <c r="B182" s="6">
        <f t="shared" si="11"/>
        <v>104461</v>
      </c>
      <c r="C182" s="10" cm="1">
        <f t="array" ref="C182">IF(A182="", "",
   IF(A182=1,
      SUMPRODUCT($D$21:INDEX($D:$D, 20+$B$9)/(1+$B$8)^$A$21:INDEX($A:$A, 20+$B$9)),
      G181
   )
)</f>
        <v>69700.297141622679</v>
      </c>
      <c r="D182" s="4">
        <f t="array" ref="D182">IF($A182="", "",
   $B$7 *
   (1 + LOOKUP($A182, {1,6,11}, {0,0.03,0.05}))
)</f>
        <v>10500</v>
      </c>
      <c r="E182" s="11">
        <f t="shared" si="12"/>
        <v>10455.044571243401</v>
      </c>
      <c r="F182" s="11">
        <f t="shared" si="13"/>
        <v>44.955428756598849</v>
      </c>
      <c r="G182" s="11">
        <f t="shared" si="14"/>
        <v>69655.34171286608</v>
      </c>
      <c r="H182" s="12"/>
    </row>
    <row r="183" spans="1:8" x14ac:dyDescent="0.35">
      <c r="A183" s="5">
        <f t="shared" si="10"/>
        <v>163</v>
      </c>
      <c r="B183" s="6">
        <f t="shared" si="11"/>
        <v>104826</v>
      </c>
      <c r="C183" s="10" cm="1">
        <f t="array" ref="C183">IF(A183="", "",
   IF(A183=1,
      SUMPRODUCT($D$21:INDEX($D:$D, 20+$B$9)/(1+$B$8)^$A$21:INDEX($A:$A, 20+$B$9)),
      G182
   )
)</f>
        <v>69655.34171286608</v>
      </c>
      <c r="D183" s="4">
        <f t="array" ref="D183">IF($A183="", "",
   $B$7 *
   (1 + LOOKUP($A183, {1,6,11}, {0,0.03,0.05}))
)</f>
        <v>10500</v>
      </c>
      <c r="E183" s="11">
        <f t="shared" si="12"/>
        <v>10448.301256929912</v>
      </c>
      <c r="F183" s="11">
        <f t="shared" si="13"/>
        <v>51.698743070088312</v>
      </c>
      <c r="G183" s="11">
        <f t="shared" si="14"/>
        <v>69603.642969795997</v>
      </c>
      <c r="H183" s="12"/>
    </row>
    <row r="184" spans="1:8" x14ac:dyDescent="0.35">
      <c r="A184" s="5">
        <f t="shared" si="10"/>
        <v>164</v>
      </c>
      <c r="B184" s="6">
        <f t="shared" si="11"/>
        <v>105191</v>
      </c>
      <c r="C184" s="10" cm="1">
        <f t="array" ref="C184">IF(A184="", "",
   IF(A184=1,
      SUMPRODUCT($D$21:INDEX($D:$D, 20+$B$9)/(1+$B$8)^$A$21:INDEX($A:$A, 20+$B$9)),
      G183
   )
)</f>
        <v>69603.642969795997</v>
      </c>
      <c r="D184" s="4">
        <f t="array" ref="D184">IF($A184="", "",
   $B$7 *
   (1 + LOOKUP($A184, {1,6,11}, {0,0.03,0.05}))
)</f>
        <v>10500</v>
      </c>
      <c r="E184" s="11">
        <f t="shared" si="12"/>
        <v>10440.546445469399</v>
      </c>
      <c r="F184" s="11">
        <f t="shared" si="13"/>
        <v>59.453554530600741</v>
      </c>
      <c r="G184" s="11">
        <f t="shared" si="14"/>
        <v>69544.189415265399</v>
      </c>
      <c r="H184" s="12"/>
    </row>
    <row r="185" spans="1:8" x14ac:dyDescent="0.35">
      <c r="A185" s="5">
        <f t="shared" si="10"/>
        <v>165</v>
      </c>
      <c r="B185" s="6">
        <f t="shared" si="11"/>
        <v>105557</v>
      </c>
      <c r="C185" s="10" cm="1">
        <f t="array" ref="C185">IF(A185="", "",
   IF(A185=1,
      SUMPRODUCT($D$21:INDEX($D:$D, 20+$B$9)/(1+$B$8)^$A$21:INDEX($A:$A, 20+$B$9)),
      G184
   )
)</f>
        <v>69544.189415265399</v>
      </c>
      <c r="D185" s="4">
        <f t="array" ref="D185">IF($A185="", "",
   $B$7 *
   (1 + LOOKUP($A185, {1,6,11}, {0,0.03,0.05}))
)</f>
        <v>10500</v>
      </c>
      <c r="E185" s="11">
        <f t="shared" si="12"/>
        <v>10431.628412289809</v>
      </c>
      <c r="F185" s="11">
        <f t="shared" si="13"/>
        <v>68.371587710191307</v>
      </c>
      <c r="G185" s="11">
        <f t="shared" si="14"/>
        <v>69475.817827555205</v>
      </c>
      <c r="H185" s="12"/>
    </row>
    <row r="186" spans="1:8" x14ac:dyDescent="0.35">
      <c r="A186" s="5">
        <f t="shared" si="10"/>
        <v>166</v>
      </c>
      <c r="B186" s="6">
        <f t="shared" si="11"/>
        <v>105922</v>
      </c>
      <c r="C186" s="10" cm="1">
        <f t="array" ref="C186">IF(A186="", "",
   IF(A186=1,
      SUMPRODUCT($D$21:INDEX($D:$D, 20+$B$9)/(1+$B$8)^$A$21:INDEX($A:$A, 20+$B$9)),
      G185
   )
)</f>
        <v>69475.817827555205</v>
      </c>
      <c r="D186" s="4">
        <f t="array" ref="D186">IF($A186="", "",
   $B$7 *
   (1 + LOOKUP($A186, {1,6,11}, {0,0.03,0.05}))
)</f>
        <v>10500</v>
      </c>
      <c r="E186" s="11">
        <f t="shared" si="12"/>
        <v>10421.372674133281</v>
      </c>
      <c r="F186" s="11">
        <f t="shared" si="13"/>
        <v>78.62732586671882</v>
      </c>
      <c r="G186" s="11">
        <f t="shared" si="14"/>
        <v>69397.190501688485</v>
      </c>
      <c r="H186" s="12"/>
    </row>
    <row r="187" spans="1:8" x14ac:dyDescent="0.35">
      <c r="A187" s="5">
        <f t="shared" si="10"/>
        <v>167</v>
      </c>
      <c r="B187" s="6">
        <f t="shared" si="11"/>
        <v>106287</v>
      </c>
      <c r="C187" s="10" cm="1">
        <f t="array" ref="C187">IF(A187="", "",
   IF(A187=1,
      SUMPRODUCT($D$21:INDEX($D:$D, 20+$B$9)/(1+$B$8)^$A$21:INDEX($A:$A, 20+$B$9)),
      G186
   )
)</f>
        <v>69397.190501688485</v>
      </c>
      <c r="D187" s="4">
        <f t="array" ref="D187">IF($A187="", "",
   $B$7 *
   (1 + LOOKUP($A187, {1,6,11}, {0,0.03,0.05}))
)</f>
        <v>10500</v>
      </c>
      <c r="E187" s="11">
        <f t="shared" si="12"/>
        <v>10409.578575253272</v>
      </c>
      <c r="F187" s="11">
        <f t="shared" si="13"/>
        <v>90.421424746728007</v>
      </c>
      <c r="G187" s="11">
        <f t="shared" si="14"/>
        <v>69306.769076941753</v>
      </c>
      <c r="H187" s="12"/>
    </row>
    <row r="188" spans="1:8" x14ac:dyDescent="0.35">
      <c r="A188" s="5">
        <f t="shared" si="10"/>
        <v>168</v>
      </c>
      <c r="B188" s="6">
        <f t="shared" si="11"/>
        <v>106652</v>
      </c>
      <c r="C188" s="10" cm="1">
        <f t="array" ref="C188">IF(A188="", "",
   IF(A188=1,
      SUMPRODUCT($D$21:INDEX($D:$D, 20+$B$9)/(1+$B$8)^$A$21:INDEX($A:$A, 20+$B$9)),
      G187
   )
)</f>
        <v>69306.769076941753</v>
      </c>
      <c r="D188" s="4">
        <f t="array" ref="D188">IF($A188="", "",
   $B$7 *
   (1 + LOOKUP($A188, {1,6,11}, {0,0.03,0.05}))
)</f>
        <v>10500</v>
      </c>
      <c r="E188" s="11">
        <f t="shared" si="12"/>
        <v>10396.015361541262</v>
      </c>
      <c r="F188" s="11">
        <f t="shared" si="13"/>
        <v>103.98463845873812</v>
      </c>
      <c r="G188" s="11">
        <f t="shared" si="14"/>
        <v>69202.78443848301</v>
      </c>
      <c r="H188" s="12"/>
    </row>
    <row r="189" spans="1:8" x14ac:dyDescent="0.35">
      <c r="A189" s="5">
        <f t="shared" si="10"/>
        <v>169</v>
      </c>
      <c r="B189" s="6">
        <f t="shared" si="11"/>
        <v>107018</v>
      </c>
      <c r="C189" s="10" cm="1">
        <f t="array" ref="C189">IF(A189="", "",
   IF(A189=1,
      SUMPRODUCT($D$21:INDEX($D:$D, 20+$B$9)/(1+$B$8)^$A$21:INDEX($A:$A, 20+$B$9)),
      G188
   )
)</f>
        <v>69202.78443848301</v>
      </c>
      <c r="D189" s="4">
        <f t="array" ref="D189">IF($A189="", "",
   $B$7 *
   (1 + LOOKUP($A189, {1,6,11}, {0,0.03,0.05}))
)</f>
        <v>10500</v>
      </c>
      <c r="E189" s="11">
        <f t="shared" si="12"/>
        <v>10380.417665772451</v>
      </c>
      <c r="F189" s="11">
        <f t="shared" si="13"/>
        <v>119.58233422754893</v>
      </c>
      <c r="G189" s="11">
        <f t="shared" si="14"/>
        <v>69083.202104255455</v>
      </c>
      <c r="H189" s="12"/>
    </row>
    <row r="190" spans="1:8" x14ac:dyDescent="0.35">
      <c r="A190" s="5">
        <f t="shared" si="10"/>
        <v>170</v>
      </c>
      <c r="B190" s="6">
        <f t="shared" si="11"/>
        <v>107383</v>
      </c>
      <c r="C190" s="10" cm="1">
        <f t="array" ref="C190">IF(A190="", "",
   IF(A190=1,
      SUMPRODUCT($D$21:INDEX($D:$D, 20+$B$9)/(1+$B$8)^$A$21:INDEX($A:$A, 20+$B$9)),
      G189
   )
)</f>
        <v>69083.202104255455</v>
      </c>
      <c r="D190" s="4">
        <f t="array" ref="D190">IF($A190="", "",
   $B$7 *
   (1 + LOOKUP($A190, {1,6,11}, {0,0.03,0.05}))
)</f>
        <v>10500</v>
      </c>
      <c r="E190" s="11">
        <f t="shared" si="12"/>
        <v>10362.480315638319</v>
      </c>
      <c r="F190" s="11">
        <f t="shared" si="13"/>
        <v>137.51968436168136</v>
      </c>
      <c r="G190" s="11">
        <f t="shared" si="14"/>
        <v>68945.682419893768</v>
      </c>
      <c r="H190" s="12"/>
    </row>
    <row r="191" spans="1:8" x14ac:dyDescent="0.35">
      <c r="A191" s="5">
        <f t="shared" si="10"/>
        <v>171</v>
      </c>
      <c r="B191" s="6">
        <f t="shared" si="11"/>
        <v>107748</v>
      </c>
      <c r="C191" s="10" cm="1">
        <f t="array" ref="C191">IF(A191="", "",
   IF(A191=1,
      SUMPRODUCT($D$21:INDEX($D:$D, 20+$B$9)/(1+$B$8)^$A$21:INDEX($A:$A, 20+$B$9)),
      G190
   )
)</f>
        <v>68945.682419893768</v>
      </c>
      <c r="D191" s="4">
        <f t="array" ref="D191">IF($A191="", "",
   $B$7 *
   (1 + LOOKUP($A191, {1,6,11}, {0,0.03,0.05}))
)</f>
        <v>10500</v>
      </c>
      <c r="E191" s="11">
        <f t="shared" si="12"/>
        <v>10341.852362984066</v>
      </c>
      <c r="F191" s="11">
        <f t="shared" si="13"/>
        <v>158.14763701593438</v>
      </c>
      <c r="G191" s="11">
        <f t="shared" si="14"/>
        <v>68787.534782877832</v>
      </c>
      <c r="H191" s="12"/>
    </row>
    <row r="192" spans="1:8" x14ac:dyDescent="0.35">
      <c r="A192" s="5">
        <f t="shared" si="10"/>
        <v>172</v>
      </c>
      <c r="B192" s="6">
        <f t="shared" si="11"/>
        <v>108113</v>
      </c>
      <c r="C192" s="10" cm="1">
        <f t="array" ref="C192">IF(A192="", "",
   IF(A192=1,
      SUMPRODUCT($D$21:INDEX($D:$D, 20+$B$9)/(1+$B$8)^$A$21:INDEX($A:$A, 20+$B$9)),
      G191
   )
)</f>
        <v>68787.534782877832</v>
      </c>
      <c r="D192" s="4">
        <f t="array" ref="D192">IF($A192="", "",
   $B$7 *
   (1 + LOOKUP($A192, {1,6,11}, {0,0.03,0.05}))
)</f>
        <v>10500</v>
      </c>
      <c r="E192" s="11">
        <f t="shared" si="12"/>
        <v>10318.130217431675</v>
      </c>
      <c r="F192" s="11">
        <f t="shared" si="13"/>
        <v>181.86978256832481</v>
      </c>
      <c r="G192" s="11">
        <f t="shared" si="14"/>
        <v>68605.665000309513</v>
      </c>
      <c r="H192" s="12"/>
    </row>
    <row r="193" spans="1:8" x14ac:dyDescent="0.35">
      <c r="A193" s="5">
        <f t="shared" si="10"/>
        <v>173</v>
      </c>
      <c r="B193" s="6">
        <f t="shared" si="11"/>
        <v>108479</v>
      </c>
      <c r="C193" s="10" cm="1">
        <f t="array" ref="C193">IF(A193="", "",
   IF(A193=1,
      SUMPRODUCT($D$21:INDEX($D:$D, 20+$B$9)/(1+$B$8)^$A$21:INDEX($A:$A, 20+$B$9)),
      G192
   )
)</f>
        <v>68605.665000309513</v>
      </c>
      <c r="D193" s="4">
        <f t="array" ref="D193">IF($A193="", "",
   $B$7 *
   (1 + LOOKUP($A193, {1,6,11}, {0,0.03,0.05}))
)</f>
        <v>10500</v>
      </c>
      <c r="E193" s="11">
        <f t="shared" si="12"/>
        <v>10290.849750046427</v>
      </c>
      <c r="F193" s="11">
        <f t="shared" si="13"/>
        <v>209.15024995357271</v>
      </c>
      <c r="G193" s="11">
        <f t="shared" si="14"/>
        <v>68396.514750355942</v>
      </c>
      <c r="H193" s="12"/>
    </row>
    <row r="194" spans="1:8" x14ac:dyDescent="0.35">
      <c r="A194" s="5">
        <f t="shared" si="10"/>
        <v>174</v>
      </c>
      <c r="B194" s="6">
        <f t="shared" si="11"/>
        <v>108844</v>
      </c>
      <c r="C194" s="10" cm="1">
        <f t="array" ref="C194">IF(A194="", "",
   IF(A194=1,
      SUMPRODUCT($D$21:INDEX($D:$D, 20+$B$9)/(1+$B$8)^$A$21:INDEX($A:$A, 20+$B$9)),
      G193
   )
)</f>
        <v>68396.514750355942</v>
      </c>
      <c r="D194" s="4">
        <f t="array" ref="D194">IF($A194="", "",
   $B$7 *
   (1 + LOOKUP($A194, {1,6,11}, {0,0.03,0.05}))
)</f>
        <v>10500</v>
      </c>
      <c r="E194" s="11">
        <f t="shared" si="12"/>
        <v>10259.477212553391</v>
      </c>
      <c r="F194" s="11">
        <f t="shared" si="13"/>
        <v>240.52278744660907</v>
      </c>
      <c r="G194" s="11">
        <f t="shared" si="14"/>
        <v>68155.991962909335</v>
      </c>
      <c r="H194" s="12"/>
    </row>
    <row r="195" spans="1:8" x14ac:dyDescent="0.35">
      <c r="A195" s="5">
        <f t="shared" si="10"/>
        <v>175</v>
      </c>
      <c r="B195" s="6">
        <f t="shared" si="11"/>
        <v>109209</v>
      </c>
      <c r="C195" s="10" cm="1">
        <f t="array" ref="C195">IF(A195="", "",
   IF(A195=1,
      SUMPRODUCT($D$21:INDEX($D:$D, 20+$B$9)/(1+$B$8)^$A$21:INDEX($A:$A, 20+$B$9)),
      G194
   )
)</f>
        <v>68155.991962909335</v>
      </c>
      <c r="D195" s="4">
        <f t="array" ref="D195">IF($A195="", "",
   $B$7 *
   (1 + LOOKUP($A195, {1,6,11}, {0,0.03,0.05}))
)</f>
        <v>10500</v>
      </c>
      <c r="E195" s="11">
        <f t="shared" si="12"/>
        <v>10223.3987944364</v>
      </c>
      <c r="F195" s="11">
        <f t="shared" si="13"/>
        <v>276.60120556360016</v>
      </c>
      <c r="G195" s="11">
        <f t="shared" si="14"/>
        <v>67879.39075734574</v>
      </c>
      <c r="H195" s="12"/>
    </row>
    <row r="196" spans="1:8" x14ac:dyDescent="0.35">
      <c r="A196" s="5">
        <f t="shared" si="10"/>
        <v>176</v>
      </c>
      <c r="B196" s="6">
        <f t="shared" si="11"/>
        <v>109574</v>
      </c>
      <c r="C196" s="10" cm="1">
        <f t="array" ref="C196">IF(A196="", "",
   IF(A196=1,
      SUMPRODUCT($D$21:INDEX($D:$D, 20+$B$9)/(1+$B$8)^$A$21:INDEX($A:$A, 20+$B$9)),
      G195
   )
)</f>
        <v>67879.39075734574</v>
      </c>
      <c r="D196" s="4">
        <f t="array" ref="D196">IF($A196="", "",
   $B$7 *
   (1 + LOOKUP($A196, {1,6,11}, {0,0.03,0.05}))
)</f>
        <v>10500</v>
      </c>
      <c r="E196" s="11">
        <f t="shared" si="12"/>
        <v>10181.908613601861</v>
      </c>
      <c r="F196" s="11">
        <f t="shared" si="13"/>
        <v>318.09138639813864</v>
      </c>
      <c r="G196" s="11">
        <f t="shared" si="14"/>
        <v>67561.2993709476</v>
      </c>
      <c r="H196" s="12"/>
    </row>
    <row r="197" spans="1:8" x14ac:dyDescent="0.35">
      <c r="A197" s="5">
        <f t="shared" si="10"/>
        <v>177</v>
      </c>
      <c r="B197" s="6">
        <f t="shared" si="11"/>
        <v>109939</v>
      </c>
      <c r="C197" s="10" cm="1">
        <f t="array" ref="C197">IF(A197="", "",
   IF(A197=1,
      SUMPRODUCT($D$21:INDEX($D:$D, 20+$B$9)/(1+$B$8)^$A$21:INDEX($A:$A, 20+$B$9)),
      G196
   )
)</f>
        <v>67561.2993709476</v>
      </c>
      <c r="D197" s="4">
        <f t="array" ref="D197">IF($A197="", "",
   $B$7 *
   (1 + LOOKUP($A197, {1,6,11}, {0,0.03,0.05}))
)</f>
        <v>10500</v>
      </c>
      <c r="E197" s="11">
        <f t="shared" si="12"/>
        <v>10134.19490564214</v>
      </c>
      <c r="F197" s="11">
        <f t="shared" si="13"/>
        <v>365.80509435786007</v>
      </c>
      <c r="G197" s="11">
        <f t="shared" si="14"/>
        <v>67195.494276589743</v>
      </c>
      <c r="H197" s="12"/>
    </row>
    <row r="198" spans="1:8" x14ac:dyDescent="0.35">
      <c r="A198" s="5">
        <f t="shared" si="10"/>
        <v>178</v>
      </c>
      <c r="B198" s="6">
        <f t="shared" si="11"/>
        <v>110304</v>
      </c>
      <c r="C198" s="10" cm="1">
        <f t="array" ref="C198">IF(A198="", "",
   IF(A198=1,
      SUMPRODUCT($D$21:INDEX($D:$D, 20+$B$9)/(1+$B$8)^$A$21:INDEX($A:$A, 20+$B$9)),
      G197
   )
)</f>
        <v>67195.494276589743</v>
      </c>
      <c r="D198" s="4">
        <f t="array" ref="D198">IF($A198="", "",
   $B$7 *
   (1 + LOOKUP($A198, {1,6,11}, {0,0.03,0.05}))
)</f>
        <v>10500</v>
      </c>
      <c r="E198" s="11">
        <f t="shared" si="12"/>
        <v>10079.324141488461</v>
      </c>
      <c r="F198" s="11">
        <f t="shared" si="13"/>
        <v>420.67585851153854</v>
      </c>
      <c r="G198" s="11">
        <f t="shared" si="14"/>
        <v>66774.818418078212</v>
      </c>
      <c r="H198" s="12"/>
    </row>
    <row r="199" spans="1:8" x14ac:dyDescent="0.35">
      <c r="A199" s="5">
        <f t="shared" si="10"/>
        <v>179</v>
      </c>
      <c r="B199" s="6">
        <f t="shared" si="11"/>
        <v>110669</v>
      </c>
      <c r="C199" s="10" cm="1">
        <f t="array" ref="C199">IF(A199="", "",
   IF(A199=1,
      SUMPRODUCT($D$21:INDEX($D:$D, 20+$B$9)/(1+$B$8)^$A$21:INDEX($A:$A, 20+$B$9)),
      G198
   )
)</f>
        <v>66774.818418078212</v>
      </c>
      <c r="D199" s="4">
        <f t="array" ref="D199">IF($A199="", "",
   $B$7 *
   (1 + LOOKUP($A199, {1,6,11}, {0,0.03,0.05}))
)</f>
        <v>10500</v>
      </c>
      <c r="E199" s="11">
        <f t="shared" si="12"/>
        <v>10016.222762711732</v>
      </c>
      <c r="F199" s="11">
        <f t="shared" si="13"/>
        <v>483.77723728826822</v>
      </c>
      <c r="G199" s="11">
        <f t="shared" si="14"/>
        <v>66291.041180789936</v>
      </c>
      <c r="H199" s="12"/>
    </row>
    <row r="200" spans="1:8" x14ac:dyDescent="0.35">
      <c r="A200" s="5">
        <f t="shared" si="10"/>
        <v>180</v>
      </c>
      <c r="B200" s="6">
        <f t="shared" si="11"/>
        <v>111034</v>
      </c>
      <c r="C200" s="10" cm="1">
        <f t="array" ref="C200">IF(A200="", "",
   IF(A200=1,
      SUMPRODUCT($D$21:INDEX($D:$D, 20+$B$9)/(1+$B$8)^$A$21:INDEX($A:$A, 20+$B$9)),
      G199
   )
)</f>
        <v>66291.041180789936</v>
      </c>
      <c r="D200" s="4">
        <f t="array" ref="D200">IF($A200="", "",
   $B$7 *
   (1 + LOOKUP($A200, {1,6,11}, {0,0.03,0.05}))
)</f>
        <v>10500</v>
      </c>
      <c r="E200" s="11">
        <f t="shared" si="12"/>
        <v>9943.6561771184897</v>
      </c>
      <c r="F200" s="11">
        <f t="shared" si="13"/>
        <v>556.34382288151028</v>
      </c>
      <c r="G200" s="11">
        <f t="shared" si="14"/>
        <v>65734.69735790843</v>
      </c>
      <c r="H200" s="12"/>
    </row>
    <row r="201" spans="1:8" x14ac:dyDescent="0.35">
      <c r="A201" s="5">
        <f t="shared" si="10"/>
        <v>181</v>
      </c>
      <c r="B201" s="6">
        <f t="shared" si="11"/>
        <v>111400</v>
      </c>
      <c r="C201" s="10" cm="1">
        <f t="array" ref="C201">IF(A201="", "",
   IF(A201=1,
      SUMPRODUCT($D$21:INDEX($D:$D, 20+$B$9)/(1+$B$8)^$A$21:INDEX($A:$A, 20+$B$9)),
      G200
   )
)</f>
        <v>65734.69735790843</v>
      </c>
      <c r="D201" s="4">
        <f t="array" ref="D201">IF($A201="", "",
   $B$7 *
   (1 + LOOKUP($A201, {1,6,11}, {0,0.03,0.05}))
)</f>
        <v>10500</v>
      </c>
      <c r="E201" s="11">
        <f t="shared" si="12"/>
        <v>9860.2046036862648</v>
      </c>
      <c r="F201" s="11">
        <f t="shared" si="13"/>
        <v>639.79539631373518</v>
      </c>
      <c r="G201" s="11">
        <f t="shared" si="14"/>
        <v>65094.901961594696</v>
      </c>
      <c r="H201" s="12"/>
    </row>
    <row r="202" spans="1:8" x14ac:dyDescent="0.35">
      <c r="A202" s="5">
        <f t="shared" si="10"/>
        <v>182</v>
      </c>
      <c r="B202" s="6">
        <f t="shared" si="11"/>
        <v>111765</v>
      </c>
      <c r="C202" s="10" cm="1">
        <f t="array" ref="C202">IF(A202="", "",
   IF(A202=1,
      SUMPRODUCT($D$21:INDEX($D:$D, 20+$B$9)/(1+$B$8)^$A$21:INDEX($A:$A, 20+$B$9)),
      G201
   )
)</f>
        <v>65094.901961594696</v>
      </c>
      <c r="D202" s="4">
        <f t="array" ref="D202">IF($A202="", "",
   $B$7 *
   (1 + LOOKUP($A202, {1,6,11}, {0,0.03,0.05}))
)</f>
        <v>10500</v>
      </c>
      <c r="E202" s="11">
        <f t="shared" si="12"/>
        <v>9764.2352942392044</v>
      </c>
      <c r="F202" s="11">
        <f t="shared" si="13"/>
        <v>735.76470576079555</v>
      </c>
      <c r="G202" s="11">
        <f t="shared" si="14"/>
        <v>64359.137255833899</v>
      </c>
      <c r="H202" s="12"/>
    </row>
    <row r="203" spans="1:8" x14ac:dyDescent="0.35">
      <c r="A203" s="5">
        <f t="shared" si="10"/>
        <v>183</v>
      </c>
      <c r="B203" s="6">
        <f t="shared" si="11"/>
        <v>112130</v>
      </c>
      <c r="C203" s="10" cm="1">
        <f t="array" ref="C203">IF(A203="", "",
   IF(A203=1,
      SUMPRODUCT($D$21:INDEX($D:$D, 20+$B$9)/(1+$B$8)^$A$21:INDEX($A:$A, 20+$B$9)),
      G202
   )
)</f>
        <v>64359.137255833899</v>
      </c>
      <c r="D203" s="4">
        <f t="array" ref="D203">IF($A203="", "",
   $B$7 *
   (1 + LOOKUP($A203, {1,6,11}, {0,0.03,0.05}))
)</f>
        <v>10500</v>
      </c>
      <c r="E203" s="11">
        <f t="shared" si="12"/>
        <v>9653.8705883750845</v>
      </c>
      <c r="F203" s="11">
        <f t="shared" si="13"/>
        <v>846.12941162491552</v>
      </c>
      <c r="G203" s="11">
        <f t="shared" si="14"/>
        <v>63513.007844208987</v>
      </c>
      <c r="H203" s="12"/>
    </row>
    <row r="204" spans="1:8" x14ac:dyDescent="0.35">
      <c r="A204" s="5">
        <f t="shared" si="10"/>
        <v>184</v>
      </c>
      <c r="B204" s="6">
        <f t="shared" si="11"/>
        <v>112495</v>
      </c>
      <c r="C204" s="10" cm="1">
        <f t="array" ref="C204">IF(A204="", "",
   IF(A204=1,
      SUMPRODUCT($D$21:INDEX($D:$D, 20+$B$9)/(1+$B$8)^$A$21:INDEX($A:$A, 20+$B$9)),
      G203
   )
)</f>
        <v>63513.007844208987</v>
      </c>
      <c r="D204" s="4">
        <f t="array" ref="D204">IF($A204="", "",
   $B$7 *
   (1 + LOOKUP($A204, {1,6,11}, {0,0.03,0.05}))
)</f>
        <v>10500</v>
      </c>
      <c r="E204" s="11">
        <f t="shared" si="12"/>
        <v>9526.9511766313481</v>
      </c>
      <c r="F204" s="11">
        <f t="shared" si="13"/>
        <v>973.04882336865194</v>
      </c>
      <c r="G204" s="11">
        <f t="shared" si="14"/>
        <v>62539.959020840339</v>
      </c>
      <c r="H204" s="12"/>
    </row>
    <row r="205" spans="1:8" x14ac:dyDescent="0.35">
      <c r="A205" s="5">
        <f t="shared" si="10"/>
        <v>185</v>
      </c>
      <c r="B205" s="6">
        <f t="shared" si="11"/>
        <v>112861</v>
      </c>
      <c r="C205" s="10" cm="1">
        <f t="array" ref="C205">IF(A205="", "",
   IF(A205=1,
      SUMPRODUCT($D$21:INDEX($D:$D, 20+$B$9)/(1+$B$8)^$A$21:INDEX($A:$A, 20+$B$9)),
      G204
   )
)</f>
        <v>62539.959020840339</v>
      </c>
      <c r="D205" s="4">
        <f t="array" ref="D205">IF($A205="", "",
   $B$7 *
   (1 + LOOKUP($A205, {1,6,11}, {0,0.03,0.05}))
)</f>
        <v>10500</v>
      </c>
      <c r="E205" s="11">
        <f t="shared" si="12"/>
        <v>9380.9938531260505</v>
      </c>
      <c r="F205" s="11">
        <f t="shared" si="13"/>
        <v>1119.0061468739495</v>
      </c>
      <c r="G205" s="11">
        <f t="shared" si="14"/>
        <v>61420.952873966387</v>
      </c>
      <c r="H205" s="12"/>
    </row>
    <row r="206" spans="1:8" x14ac:dyDescent="0.35">
      <c r="A206" s="5">
        <f t="shared" si="10"/>
        <v>186</v>
      </c>
      <c r="B206" s="6">
        <f t="shared" si="11"/>
        <v>113226</v>
      </c>
      <c r="C206" s="10" cm="1">
        <f t="array" ref="C206">IF(A206="", "",
   IF(A206=1,
      SUMPRODUCT($D$21:INDEX($D:$D, 20+$B$9)/(1+$B$8)^$A$21:INDEX($A:$A, 20+$B$9)),
      G205
   )
)</f>
        <v>61420.952873966387</v>
      </c>
      <c r="D206" s="4">
        <f t="array" ref="D206">IF($A206="", "",
   $B$7 *
   (1 + LOOKUP($A206, {1,6,11}, {0,0.03,0.05}))
)</f>
        <v>10500</v>
      </c>
      <c r="E206" s="11">
        <f t="shared" si="12"/>
        <v>9213.142931094957</v>
      </c>
      <c r="F206" s="11">
        <f t="shared" si="13"/>
        <v>1286.857068905043</v>
      </c>
      <c r="G206" s="11">
        <f t="shared" si="14"/>
        <v>60134.095805061341</v>
      </c>
      <c r="H206" s="12"/>
    </row>
    <row r="207" spans="1:8" x14ac:dyDescent="0.35">
      <c r="A207" s="5">
        <f t="shared" si="10"/>
        <v>187</v>
      </c>
      <c r="B207" s="6">
        <f t="shared" si="11"/>
        <v>113591</v>
      </c>
      <c r="C207" s="10" cm="1">
        <f t="array" ref="C207">IF(A207="", "",
   IF(A207=1,
      SUMPRODUCT($D$21:INDEX($D:$D, 20+$B$9)/(1+$B$8)^$A$21:INDEX($A:$A, 20+$B$9)),
      G206
   )
)</f>
        <v>60134.095805061341</v>
      </c>
      <c r="D207" s="4">
        <f t="array" ref="D207">IF($A207="", "",
   $B$7 *
   (1 + LOOKUP($A207, {1,6,11}, {0,0.03,0.05}))
)</f>
        <v>10500</v>
      </c>
      <c r="E207" s="11">
        <f t="shared" si="12"/>
        <v>9020.1143707592</v>
      </c>
      <c r="F207" s="11">
        <f t="shared" si="13"/>
        <v>1479.8856292408</v>
      </c>
      <c r="G207" s="11">
        <f t="shared" si="14"/>
        <v>58654.210175820539</v>
      </c>
      <c r="H207" s="12"/>
    </row>
    <row r="208" spans="1:8" x14ac:dyDescent="0.35">
      <c r="A208" s="5">
        <f t="shared" si="10"/>
        <v>188</v>
      </c>
      <c r="B208" s="6">
        <f t="shared" si="11"/>
        <v>113956</v>
      </c>
      <c r="C208" s="10" cm="1">
        <f t="array" ref="C208">IF(A208="", "",
   IF(A208=1,
      SUMPRODUCT($D$21:INDEX($D:$D, 20+$B$9)/(1+$B$8)^$A$21:INDEX($A:$A, 20+$B$9)),
      G207
   )
)</f>
        <v>58654.210175820539</v>
      </c>
      <c r="D208" s="4">
        <f t="array" ref="D208">IF($A208="", "",
   $B$7 *
   (1 + LOOKUP($A208, {1,6,11}, {0,0.03,0.05}))
)</f>
        <v>10500</v>
      </c>
      <c r="E208" s="11">
        <f t="shared" si="12"/>
        <v>8798.1315263730812</v>
      </c>
      <c r="F208" s="11">
        <f t="shared" si="13"/>
        <v>1701.8684736269188</v>
      </c>
      <c r="G208" s="11">
        <f t="shared" si="14"/>
        <v>56952.341702193618</v>
      </c>
      <c r="H208" s="12"/>
    </row>
    <row r="209" spans="1:8" x14ac:dyDescent="0.35">
      <c r="A209" s="5">
        <f t="shared" si="10"/>
        <v>189</v>
      </c>
      <c r="B209" s="6">
        <f t="shared" si="11"/>
        <v>114322</v>
      </c>
      <c r="C209" s="10" cm="1">
        <f t="array" ref="C209">IF(A209="", "",
   IF(A209=1,
      SUMPRODUCT($D$21:INDEX($D:$D, 20+$B$9)/(1+$B$8)^$A$21:INDEX($A:$A, 20+$B$9)),
      G208
   )
)</f>
        <v>56952.341702193618</v>
      </c>
      <c r="D209" s="4">
        <f t="array" ref="D209">IF($A209="", "",
   $B$7 *
   (1 + LOOKUP($A209, {1,6,11}, {0,0.03,0.05}))
)</f>
        <v>10500</v>
      </c>
      <c r="E209" s="11">
        <f t="shared" si="12"/>
        <v>8542.851255329042</v>
      </c>
      <c r="F209" s="11">
        <f t="shared" si="13"/>
        <v>1957.148744670958</v>
      </c>
      <c r="G209" s="11">
        <f t="shared" si="14"/>
        <v>54995.19295752266</v>
      </c>
      <c r="H209" s="12"/>
    </row>
    <row r="210" spans="1:8" x14ac:dyDescent="0.35">
      <c r="A210" s="5">
        <f t="shared" si="10"/>
        <v>190</v>
      </c>
      <c r="B210" s="6">
        <f t="shared" si="11"/>
        <v>114687</v>
      </c>
      <c r="C210" s="10" cm="1">
        <f t="array" ref="C210">IF(A210="", "",
   IF(A210=1,
      SUMPRODUCT($D$21:INDEX($D:$D, 20+$B$9)/(1+$B$8)^$A$21:INDEX($A:$A, 20+$B$9)),
      G209
   )
)</f>
        <v>54995.19295752266</v>
      </c>
      <c r="D210" s="4">
        <f t="array" ref="D210">IF($A210="", "",
   $B$7 *
   (1 + LOOKUP($A210, {1,6,11}, {0,0.03,0.05}))
)</f>
        <v>10500</v>
      </c>
      <c r="E210" s="11">
        <f t="shared" si="12"/>
        <v>8249.2789436283983</v>
      </c>
      <c r="F210" s="11">
        <f t="shared" si="13"/>
        <v>2250.7210563716017</v>
      </c>
      <c r="G210" s="11">
        <f t="shared" si="14"/>
        <v>52744.471901151061</v>
      </c>
      <c r="H210" s="12"/>
    </row>
    <row r="211" spans="1:8" x14ac:dyDescent="0.35">
      <c r="A211" s="5">
        <f t="shared" si="10"/>
        <v>191</v>
      </c>
      <c r="B211" s="6">
        <f t="shared" si="11"/>
        <v>115052</v>
      </c>
      <c r="C211" s="10" cm="1">
        <f t="array" ref="C211">IF(A211="", "",
   IF(A211=1,
      SUMPRODUCT($D$21:INDEX($D:$D, 20+$B$9)/(1+$B$8)^$A$21:INDEX($A:$A, 20+$B$9)),
      G210
   )
)</f>
        <v>52744.471901151061</v>
      </c>
      <c r="D211" s="4">
        <f t="array" ref="D211">IF($A211="", "",
   $B$7 *
   (1 + LOOKUP($A211, {1,6,11}, {0,0.03,0.05}))
)</f>
        <v>10500</v>
      </c>
      <c r="E211" s="11">
        <f t="shared" si="12"/>
        <v>7911.6707851726587</v>
      </c>
      <c r="F211" s="11">
        <f t="shared" si="13"/>
        <v>2588.3292148273413</v>
      </c>
      <c r="G211" s="11">
        <f t="shared" si="14"/>
        <v>50156.142686323721</v>
      </c>
      <c r="H211" s="12"/>
    </row>
    <row r="212" spans="1:8" x14ac:dyDescent="0.35">
      <c r="A212" s="5">
        <f t="shared" si="10"/>
        <v>192</v>
      </c>
      <c r="B212" s="6">
        <f t="shared" si="11"/>
        <v>115417</v>
      </c>
      <c r="C212" s="10" cm="1">
        <f t="array" ref="C212">IF(A212="", "",
   IF(A212=1,
      SUMPRODUCT($D$21:INDEX($D:$D, 20+$B$9)/(1+$B$8)^$A$21:INDEX($A:$A, 20+$B$9)),
      G211
   )
)</f>
        <v>50156.142686323721</v>
      </c>
      <c r="D212" s="4">
        <f t="array" ref="D212">IF($A212="", "",
   $B$7 *
   (1 + LOOKUP($A212, {1,6,11}, {0,0.03,0.05}))
)</f>
        <v>10500</v>
      </c>
      <c r="E212" s="11">
        <f t="shared" si="12"/>
        <v>7523.4214029485574</v>
      </c>
      <c r="F212" s="11">
        <f t="shared" si="13"/>
        <v>2976.5785970514426</v>
      </c>
      <c r="G212" s="11">
        <f t="shared" si="14"/>
        <v>47179.56408927228</v>
      </c>
      <c r="H212" s="12"/>
    </row>
    <row r="213" spans="1:8" x14ac:dyDescent="0.35">
      <c r="A213" s="5">
        <f t="shared" si="10"/>
        <v>193</v>
      </c>
      <c r="B213" s="6">
        <f t="shared" si="11"/>
        <v>115783</v>
      </c>
      <c r="C213" s="10" cm="1">
        <f t="array" ref="C213">IF(A213="", "",
   IF(A213=1,
      SUMPRODUCT($D$21:INDEX($D:$D, 20+$B$9)/(1+$B$8)^$A$21:INDEX($A:$A, 20+$B$9)),
      G212
   )
)</f>
        <v>47179.56408927228</v>
      </c>
      <c r="D213" s="4">
        <f t="array" ref="D213">IF($A213="", "",
   $B$7 *
   (1 + LOOKUP($A213, {1,6,11}, {0,0.03,0.05}))
)</f>
        <v>10500</v>
      </c>
      <c r="E213" s="11">
        <f t="shared" si="12"/>
        <v>7076.9346133908421</v>
      </c>
      <c r="F213" s="11">
        <f t="shared" si="13"/>
        <v>3423.0653866091579</v>
      </c>
      <c r="G213" s="11">
        <f t="shared" si="14"/>
        <v>43756.498702663121</v>
      </c>
      <c r="H213" s="12"/>
    </row>
    <row r="214" spans="1:8" x14ac:dyDescent="0.35">
      <c r="A214" s="5">
        <f t="shared" ref="A214:A220" si="15">IF(ROW()-20&lt;=$B$9, ROW()-20, "")</f>
        <v>194</v>
      </c>
      <c r="B214" s="6">
        <f t="shared" ref="B214:B220" si="16">IF(A214="", "", DATE(YEAR($B$6)+A214-1, 12, 31))</f>
        <v>116148</v>
      </c>
      <c r="C214" s="10" cm="1">
        <f t="array" ref="C214">IF(A214="", "",
   IF(A214=1,
      SUMPRODUCT($D$21:INDEX($D:$D, 20+$B$9)/(1+$B$8)^$A$21:INDEX($A:$A, 20+$B$9)),
      G213
   )
)</f>
        <v>43756.498702663121</v>
      </c>
      <c r="D214" s="4">
        <f t="array" ref="D214">IF($A214="", "",
   $B$7 *
   (1 + LOOKUP($A214, {1,6,11}, {0,0.03,0.05}))
)</f>
        <v>10500</v>
      </c>
      <c r="E214" s="11">
        <f t="shared" ref="E214:E220" si="17">IF($A214="", "", $C214*$B$8)</f>
        <v>6563.4748053994681</v>
      </c>
      <c r="F214" s="11">
        <f t="shared" ref="F214:F220" si="18">IF($A214="", "", $D214-$E214)</f>
        <v>3936.5251946005319</v>
      </c>
      <c r="G214" s="11">
        <f t="shared" ref="G214:G220" si="19">IF($A214="", "", $C214-$F214)</f>
        <v>39819.973508062591</v>
      </c>
      <c r="H214" s="12"/>
    </row>
    <row r="215" spans="1:8" x14ac:dyDescent="0.35">
      <c r="A215" s="5">
        <f t="shared" si="15"/>
        <v>195</v>
      </c>
      <c r="B215" s="6">
        <f t="shared" si="16"/>
        <v>116513</v>
      </c>
      <c r="C215" s="10" cm="1">
        <f t="array" ref="C215">IF(A215="", "",
   IF(A215=1,
      SUMPRODUCT($D$21:INDEX($D:$D, 20+$B$9)/(1+$B$8)^$A$21:INDEX($A:$A, 20+$B$9)),
      G214
   )
)</f>
        <v>39819.973508062591</v>
      </c>
      <c r="D215" s="4">
        <f t="array" ref="D215">IF($A215="", "",
   $B$7 *
   (1 + LOOKUP($A215, {1,6,11}, {0,0.03,0.05}))
)</f>
        <v>10500</v>
      </c>
      <c r="E215" s="11">
        <f t="shared" si="17"/>
        <v>5972.9960262093882</v>
      </c>
      <c r="F215" s="11">
        <f t="shared" si="18"/>
        <v>4527.0039737906118</v>
      </c>
      <c r="G215" s="11">
        <f t="shared" si="19"/>
        <v>35292.969534271979</v>
      </c>
      <c r="H215" s="12"/>
    </row>
    <row r="216" spans="1:8" x14ac:dyDescent="0.35">
      <c r="A216" s="5">
        <f t="shared" si="15"/>
        <v>196</v>
      </c>
      <c r="B216" s="6">
        <f t="shared" si="16"/>
        <v>116878</v>
      </c>
      <c r="C216" s="10" cm="1">
        <f t="array" ref="C216">IF(A216="", "",
   IF(A216=1,
      SUMPRODUCT($D$21:INDEX($D:$D, 20+$B$9)/(1+$B$8)^$A$21:INDEX($A:$A, 20+$B$9)),
      G215
   )
)</f>
        <v>35292.969534271979</v>
      </c>
      <c r="D216" s="4">
        <f t="array" ref="D216">IF($A216="", "",
   $B$7 *
   (1 + LOOKUP($A216, {1,6,11}, {0,0.03,0.05}))
)</f>
        <v>10500</v>
      </c>
      <c r="E216" s="11">
        <f t="shared" si="17"/>
        <v>5293.9454301407968</v>
      </c>
      <c r="F216" s="11">
        <f t="shared" si="18"/>
        <v>5206.0545698592032</v>
      </c>
      <c r="G216" s="11">
        <f t="shared" si="19"/>
        <v>30086.914964412776</v>
      </c>
      <c r="H216" s="12"/>
    </row>
    <row r="217" spans="1:8" x14ac:dyDescent="0.35">
      <c r="A217" s="5">
        <f t="shared" si="15"/>
        <v>197</v>
      </c>
      <c r="B217" s="6">
        <f t="shared" si="16"/>
        <v>117244</v>
      </c>
      <c r="C217" s="10" cm="1">
        <f t="array" ref="C217">IF(A217="", "",
   IF(A217=1,
      SUMPRODUCT($D$21:INDEX($D:$D, 20+$B$9)/(1+$B$8)^$A$21:INDEX($A:$A, 20+$B$9)),
      G216
   )
)</f>
        <v>30086.914964412776</v>
      </c>
      <c r="D217" s="4">
        <f t="array" ref="D217">IF($A217="", "",
   $B$7 *
   (1 + LOOKUP($A217, {1,6,11}, {0,0.03,0.05}))
)</f>
        <v>10500</v>
      </c>
      <c r="E217" s="11">
        <f t="shared" si="17"/>
        <v>4513.0372446619158</v>
      </c>
      <c r="F217" s="11">
        <f t="shared" si="18"/>
        <v>5986.9627553380842</v>
      </c>
      <c r="G217" s="11">
        <f t="shared" si="19"/>
        <v>24099.95220907469</v>
      </c>
      <c r="H217" s="12"/>
    </row>
    <row r="218" spans="1:8" x14ac:dyDescent="0.35">
      <c r="A218" s="5">
        <f t="shared" si="15"/>
        <v>198</v>
      </c>
      <c r="B218" s="6">
        <f t="shared" si="16"/>
        <v>117609</v>
      </c>
      <c r="C218" s="10" cm="1">
        <f t="array" ref="C218">IF(A218="", "",
   IF(A218=1,
      SUMPRODUCT($D$21:INDEX($D:$D, 20+$B$9)/(1+$B$8)^$A$21:INDEX($A:$A, 20+$B$9)),
      G217
   )
)</f>
        <v>24099.95220907469</v>
      </c>
      <c r="D218" s="4">
        <f t="array" ref="D218">IF($A218="", "",
   $B$7 *
   (1 + LOOKUP($A218, {1,6,11}, {0,0.03,0.05}))
)</f>
        <v>10500</v>
      </c>
      <c r="E218" s="11">
        <f t="shared" si="17"/>
        <v>3614.9928313612036</v>
      </c>
      <c r="F218" s="11">
        <f t="shared" si="18"/>
        <v>6885.0071686387964</v>
      </c>
      <c r="G218" s="11">
        <f t="shared" si="19"/>
        <v>17214.945040435894</v>
      </c>
      <c r="H218" s="12"/>
    </row>
    <row r="219" spans="1:8" x14ac:dyDescent="0.35">
      <c r="A219" s="5">
        <f t="shared" si="15"/>
        <v>199</v>
      </c>
      <c r="B219" s="6">
        <f t="shared" si="16"/>
        <v>117974</v>
      </c>
      <c r="C219" s="10" cm="1">
        <f t="array" ref="C219">IF(A219="", "",
   IF(A219=1,
      SUMPRODUCT($D$21:INDEX($D:$D, 20+$B$9)/(1+$B$8)^$A$21:INDEX($A:$A, 20+$B$9)),
      G218
   )
)</f>
        <v>17214.945040435894</v>
      </c>
      <c r="D219" s="4">
        <f t="array" ref="D219">IF($A219="", "",
   $B$7 *
   (1 + LOOKUP($A219, {1,6,11}, {0,0.03,0.05}))
)</f>
        <v>10500</v>
      </c>
      <c r="E219" s="11">
        <f t="shared" si="17"/>
        <v>2582.2417560653839</v>
      </c>
      <c r="F219" s="11">
        <f t="shared" si="18"/>
        <v>7917.7582439346161</v>
      </c>
      <c r="G219" s="11">
        <f t="shared" si="19"/>
        <v>9297.1867965012789</v>
      </c>
      <c r="H219" s="12"/>
    </row>
    <row r="220" spans="1:8" x14ac:dyDescent="0.35">
      <c r="A220" s="5">
        <f t="shared" si="15"/>
        <v>200</v>
      </c>
      <c r="B220" s="6">
        <f t="shared" si="16"/>
        <v>118339</v>
      </c>
      <c r="C220" s="10" cm="1">
        <f t="array" ref="C220">IF(A220="", "",
   IF(A220=1,
      SUMPRODUCT($D$21:INDEX($D:$D, 20+$B$9)/(1+$B$8)^$A$21:INDEX($A:$A, 20+$B$9)),
      G219
   )
)</f>
        <v>9297.1867965012789</v>
      </c>
      <c r="D220" s="4">
        <f t="array" ref="D220">IF($A220="", "",
   $B$7 *
   (1 + LOOKUP($A220, {1,6,11}, {0,0.03,0.05}))
)</f>
        <v>10500</v>
      </c>
      <c r="E220" s="11">
        <f t="shared" si="17"/>
        <v>1394.5780194751917</v>
      </c>
      <c r="F220" s="11">
        <f t="shared" si="18"/>
        <v>9105.4219805248085</v>
      </c>
      <c r="G220" s="11">
        <f t="shared" si="19"/>
        <v>191.76481597647035</v>
      </c>
      <c r="H22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Lease Model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Hafsa Munir</cp:lastModifiedBy>
  <dcterms:created xsi:type="dcterms:W3CDTF">2025-12-22T19:32:18Z</dcterms:created>
  <dcterms:modified xsi:type="dcterms:W3CDTF">2025-12-23T13:57:34Z</dcterms:modified>
</cp:coreProperties>
</file>